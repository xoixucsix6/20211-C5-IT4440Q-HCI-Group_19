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3020"/>
  </bookViews>
  <sheets>
    <sheet name="Sheet1" sheetId="1" r:id="rId1"/>
    <sheet name="dropdown" sheetId="5" state="hidden" r:id="rId2"/>
    <sheet name="KetQua" sheetId="3" r:id="rId3"/>
    <sheet name="Sheet3" sheetId="4" r:id="rId4"/>
  </sheets>
  <calcPr calcId="152511"/>
</workbook>
</file>

<file path=xl/calcChain.xml><?xml version="1.0" encoding="utf-8"?>
<calcChain xmlns="http://schemas.openxmlformats.org/spreadsheetml/2006/main">
  <c r="D7" i="1" l="1"/>
  <c r="I14" i="3" l="1"/>
  <c r="H14" i="3"/>
  <c r="G14" i="3"/>
  <c r="F14" i="3"/>
  <c r="E14" i="3"/>
  <c r="D14" i="3"/>
  <c r="C14" i="3"/>
  <c r="C15" i="3" l="1"/>
  <c r="H15" i="3"/>
  <c r="I5" i="3"/>
  <c r="D5" i="3"/>
  <c r="D7" i="3"/>
  <c r="I7" i="3"/>
  <c r="I17" i="3" l="1"/>
  <c r="E17" i="3"/>
  <c r="H17" i="3"/>
  <c r="D17" i="3"/>
  <c r="G17" i="3"/>
  <c r="C17" i="3"/>
  <c r="F17" i="3"/>
  <c r="C16" i="3"/>
</calcChain>
</file>

<file path=xl/sharedStrings.xml><?xml version="1.0" encoding="utf-8"?>
<sst xmlns="http://schemas.openxmlformats.org/spreadsheetml/2006/main" count="268" uniqueCount="149">
  <si>
    <t>Giới tính</t>
  </si>
  <si>
    <t>Ngày sinh</t>
  </si>
  <si>
    <t xml:space="preserve"> Tuổi</t>
  </si>
  <si>
    <t>(Dành cho phụ huynh)</t>
  </si>
  <si>
    <t>Họ và tên</t>
  </si>
  <si>
    <t>Tuổi</t>
  </si>
  <si>
    <t>Các vấn đề</t>
  </si>
  <si>
    <t>Hướng nội</t>
  </si>
  <si>
    <t>I. Lo âu/ trầm cảm</t>
  </si>
  <si>
    <t>II. Thu mình trầm cảm</t>
  </si>
  <si>
    <t>III. Phàn nàn đau cơ thể</t>
  </si>
  <si>
    <t>VI. Vấn đề chú ý</t>
  </si>
  <si>
    <t>Tổng điểm</t>
  </si>
  <si>
    <t>Đánh giá tình trạng</t>
  </si>
  <si>
    <t>Các biểu hiện</t>
  </si>
  <si>
    <t>Điểm</t>
  </si>
  <si>
    <t>Kết Quả CBCL</t>
  </si>
  <si>
    <t xml:space="preserve">Khoa Tâm Thần - Bệnh viện Nhi Trung ương                                    </t>
  </si>
  <si>
    <r>
      <t>1.</t>
    </r>
    <r>
      <rPr>
        <sz val="11"/>
        <color theme="1"/>
        <rFont val="Calibri"/>
        <family val="2"/>
        <scheme val="minor"/>
      </rPr>
      <t xml:space="preserve"> Đau nhức không rõ nguyên nhân thực thể (không bao gồm đau bụng hoặc đau đầu)</t>
    </r>
  </si>
  <si>
    <r>
      <t>2.</t>
    </r>
    <r>
      <rPr>
        <sz val="11"/>
        <color theme="1"/>
        <rFont val="Calibri"/>
        <family val="2"/>
        <scheme val="minor"/>
      </rPr>
      <t xml:space="preserve"> Hành động quá trẻ con so với tuổi </t>
    </r>
  </si>
  <si>
    <r>
      <t>3.</t>
    </r>
    <r>
      <rPr>
        <sz val="11"/>
        <color theme="1"/>
        <rFont val="Calibri"/>
        <family val="2"/>
        <scheme val="minor"/>
      </rPr>
      <t xml:space="preserve"> Sợ thử những điều mới lạ</t>
    </r>
  </si>
  <si>
    <r>
      <t>4.</t>
    </r>
    <r>
      <rPr>
        <sz val="11"/>
        <color theme="1"/>
        <rFont val="Calibri"/>
        <family val="2"/>
        <scheme val="minor"/>
      </rPr>
      <t xml:space="preserve"> Tránh nhìn vào mắt người khác</t>
    </r>
  </si>
  <si>
    <r>
      <t>5.</t>
    </r>
    <r>
      <rPr>
        <sz val="11"/>
        <color theme="1"/>
        <rFont val="Calibri"/>
        <family val="2"/>
        <scheme val="minor"/>
      </rPr>
      <t xml:space="preserve"> Không thể tập trung, không thể chú ý được lâu</t>
    </r>
  </si>
  <si>
    <r>
      <t>6</t>
    </r>
    <r>
      <rPr>
        <sz val="11"/>
        <color theme="1"/>
        <rFont val="Calibri"/>
        <family val="2"/>
        <scheme val="minor"/>
      </rPr>
      <t>. Không thể yên tĩnh, không thể ngồi yên hoặc hoạt động quá mức</t>
    </r>
  </si>
  <si>
    <r>
      <t>7</t>
    </r>
    <r>
      <rPr>
        <sz val="11"/>
        <color theme="1"/>
        <rFont val="Calibri"/>
        <family val="2"/>
        <scheme val="minor"/>
      </rPr>
      <t>. Không thể chịu đựng nếu đồ vật để sai chỗ</t>
    </r>
  </si>
  <si>
    <r>
      <t>8.</t>
    </r>
    <r>
      <rPr>
        <sz val="11"/>
        <color theme="1"/>
        <rFont val="Calibri"/>
        <family val="2"/>
        <scheme val="minor"/>
      </rPr>
      <t xml:space="preserve"> Không thể chờ đợi, muốn mọi thứ phải có ngay lập tức</t>
    </r>
  </si>
  <si>
    <r>
      <t>9</t>
    </r>
    <r>
      <rPr>
        <sz val="11"/>
        <color theme="1"/>
        <rFont val="Calibri"/>
        <family val="2"/>
        <scheme val="minor"/>
      </rPr>
      <t>. Nhai những thứ không ăn được</t>
    </r>
  </si>
  <si>
    <r>
      <t>10.</t>
    </r>
    <r>
      <rPr>
        <sz val="11"/>
        <color theme="1"/>
        <rFont val="Calibri"/>
        <family val="2"/>
        <scheme val="minor"/>
      </rPr>
      <t xml:space="preserve"> Bám lấy người lớn hoặc quá phụ thuộc</t>
    </r>
  </si>
  <si>
    <r>
      <t>11</t>
    </r>
    <r>
      <rPr>
        <sz val="11"/>
        <color theme="1"/>
        <rFont val="Calibri"/>
        <family val="2"/>
        <scheme val="minor"/>
      </rPr>
      <t>. Luôn phải tìm kiếm sự giúp đỡ</t>
    </r>
  </si>
  <si>
    <r>
      <t>12</t>
    </r>
    <r>
      <rPr>
        <sz val="11"/>
        <color theme="1"/>
        <rFont val="Calibri"/>
        <family val="2"/>
        <scheme val="minor"/>
      </rPr>
      <t>. Táo bón hoặc không tự đại tiện được (không phải do bệnh)</t>
    </r>
  </si>
  <si>
    <r>
      <t>13</t>
    </r>
    <r>
      <rPr>
        <sz val="11"/>
        <color theme="1"/>
        <rFont val="Calibri"/>
        <family val="2"/>
        <scheme val="minor"/>
      </rPr>
      <t>. Khóc quá nhiều</t>
    </r>
  </si>
  <si>
    <r>
      <t>14</t>
    </r>
    <r>
      <rPr>
        <sz val="11"/>
        <color theme="1"/>
        <rFont val="Calibri"/>
        <family val="2"/>
        <scheme val="minor"/>
      </rPr>
      <t>. Độc ác với động vật</t>
    </r>
  </si>
  <si>
    <r>
      <t>15</t>
    </r>
    <r>
      <rPr>
        <sz val="11"/>
        <color theme="1"/>
        <rFont val="Calibri"/>
        <family val="2"/>
        <scheme val="minor"/>
      </rPr>
      <t>. Bướng bỉnh, chống đối</t>
    </r>
  </si>
  <si>
    <r>
      <t>16</t>
    </r>
    <r>
      <rPr>
        <sz val="11"/>
        <color theme="1"/>
        <rFont val="Calibri"/>
        <family val="2"/>
        <scheme val="minor"/>
      </rPr>
      <t>. Đòi hỏi là phải đáp ứng ngay</t>
    </r>
  </si>
  <si>
    <r>
      <t>17</t>
    </r>
    <r>
      <rPr>
        <sz val="11"/>
        <color theme="1"/>
        <rFont val="Calibri"/>
        <family val="2"/>
        <scheme val="minor"/>
      </rPr>
      <t xml:space="preserve">. Phá hủy những đồ vật của mình </t>
    </r>
  </si>
  <si>
    <r>
      <t>18.</t>
    </r>
    <r>
      <rPr>
        <sz val="11"/>
        <color theme="1"/>
        <rFont val="Calibri"/>
        <family val="2"/>
        <scheme val="minor"/>
      </rPr>
      <t xml:space="preserve"> Phá hủy đồ vật của gia đình hoặc của trẻ khác</t>
    </r>
  </si>
  <si>
    <r>
      <t>19</t>
    </r>
    <r>
      <rPr>
        <sz val="11"/>
        <color theme="1"/>
        <rFont val="Calibri"/>
        <family val="2"/>
        <scheme val="minor"/>
      </rPr>
      <t>. Ỉa chảy hoặc vấn đề tiêu hóa không rõ nguyên nhân</t>
    </r>
  </si>
  <si>
    <r>
      <t>20</t>
    </r>
    <r>
      <rPr>
        <sz val="11"/>
        <color theme="1"/>
        <rFont val="Calibri"/>
        <family val="2"/>
        <scheme val="minor"/>
      </rPr>
      <t>. Không vâng lời</t>
    </r>
  </si>
  <si>
    <r>
      <t>21.</t>
    </r>
    <r>
      <rPr>
        <sz val="11"/>
        <color theme="1"/>
        <rFont val="Calibri"/>
        <family val="2"/>
        <scheme val="minor"/>
      </rPr>
      <t xml:space="preserve"> Khó chịu khi thói quen bị thay đổi</t>
    </r>
  </si>
  <si>
    <r>
      <t>22.</t>
    </r>
    <r>
      <rPr>
        <sz val="11"/>
        <color theme="1"/>
        <rFont val="Calibri"/>
        <family val="2"/>
        <scheme val="minor"/>
      </rPr>
      <t xml:space="preserve"> Không muốn ngủ một mình</t>
    </r>
  </si>
  <si>
    <r>
      <t>23</t>
    </r>
    <r>
      <rPr>
        <sz val="11"/>
        <color theme="1"/>
        <rFont val="Calibri"/>
        <family val="2"/>
        <scheme val="minor"/>
      </rPr>
      <t>. Không trả lời khi người khác nói với mình</t>
    </r>
  </si>
  <si>
    <r>
      <t>24.</t>
    </r>
    <r>
      <rPr>
        <sz val="11"/>
        <color theme="1"/>
        <rFont val="Calibri"/>
        <family val="2"/>
        <scheme val="minor"/>
      </rPr>
      <t xml:space="preserve"> Ăn kém </t>
    </r>
  </si>
  <si>
    <r>
      <t>25</t>
    </r>
    <r>
      <rPr>
        <sz val="11"/>
        <color theme="1"/>
        <rFont val="Calibri"/>
        <family val="2"/>
        <scheme val="minor"/>
      </rPr>
      <t>. Không chơi hòa thuận với trẻ khác</t>
    </r>
  </si>
  <si>
    <r>
      <t xml:space="preserve">26. </t>
    </r>
    <r>
      <rPr>
        <sz val="11"/>
        <color theme="1"/>
        <rFont val="Calibri"/>
        <family val="2"/>
        <scheme val="minor"/>
      </rPr>
      <t>Không biết nói đùa, hành động giống “cụ non”</t>
    </r>
  </si>
  <si>
    <r>
      <t>27.</t>
    </r>
    <r>
      <rPr>
        <sz val="11"/>
        <color theme="1"/>
        <rFont val="Calibri"/>
        <family val="2"/>
        <scheme val="minor"/>
      </rPr>
      <t xml:space="preserve"> Dường như không cảm thấy có lỗi sau hành vi sai</t>
    </r>
  </si>
  <si>
    <r>
      <t>28.</t>
    </r>
    <r>
      <rPr>
        <sz val="11"/>
        <color theme="1"/>
        <rFont val="Calibri"/>
        <family val="2"/>
        <scheme val="minor"/>
      </rPr>
      <t xml:space="preserve"> Không muốn ra khỏi nhà</t>
    </r>
  </si>
  <si>
    <r>
      <t>29.</t>
    </r>
    <r>
      <rPr>
        <sz val="11"/>
        <color theme="1"/>
        <rFont val="Calibri"/>
        <family val="2"/>
        <scheme val="minor"/>
      </rPr>
      <t xml:space="preserve"> Dễ bị thất vọng </t>
    </r>
  </si>
  <si>
    <r>
      <t>30.</t>
    </r>
    <r>
      <rPr>
        <sz val="11"/>
        <color theme="1"/>
        <rFont val="Calibri"/>
        <family val="2"/>
        <scheme val="minor"/>
      </rPr>
      <t xml:space="preserve"> Dễ ghen tỵ</t>
    </r>
  </si>
  <si>
    <r>
      <t>31.</t>
    </r>
    <r>
      <rPr>
        <sz val="11"/>
        <color theme="1"/>
        <rFont val="Calibri"/>
        <family val="2"/>
        <scheme val="minor"/>
      </rPr>
      <t xml:space="preserve"> Ăn, uống những thứ không phải là đồ ăn </t>
    </r>
  </si>
  <si>
    <r>
      <t>32.</t>
    </r>
    <r>
      <rPr>
        <sz val="11"/>
        <color theme="1"/>
        <rFont val="Calibri"/>
        <family val="2"/>
        <scheme val="minor"/>
      </rPr>
      <t xml:space="preserve"> Sợ một số con vật, tình huống hoặc nơi chốn nhất định </t>
    </r>
  </si>
  <si>
    <r>
      <t>33.</t>
    </r>
    <r>
      <rPr>
        <sz val="11"/>
        <color theme="1"/>
        <rFont val="Calibri"/>
        <family val="2"/>
        <scheme val="minor"/>
      </rPr>
      <t xml:space="preserve"> Cảm xúc dễ bị tổn thương.</t>
    </r>
  </si>
  <si>
    <r>
      <t>34.</t>
    </r>
    <r>
      <rPr>
        <sz val="11"/>
        <color theme="1"/>
        <rFont val="Calibri"/>
        <family val="2"/>
        <scheme val="minor"/>
      </rPr>
      <t xml:space="preserve"> Dễ bị đau, xây xát, dễ gặp tai nạn</t>
    </r>
  </si>
  <si>
    <r>
      <t>35.</t>
    </r>
    <r>
      <rPr>
        <sz val="11"/>
        <color theme="1"/>
        <rFont val="Calibri"/>
        <family val="2"/>
        <scheme val="minor"/>
      </rPr>
      <t xml:space="preserve"> Hay đánh nhau</t>
    </r>
  </si>
  <si>
    <r>
      <t>36</t>
    </r>
    <r>
      <rPr>
        <sz val="11"/>
        <color theme="1"/>
        <rFont val="Calibri"/>
        <family val="2"/>
        <scheme val="minor"/>
      </rPr>
      <t>. Hay xen vào mọi việc</t>
    </r>
  </si>
  <si>
    <r>
      <t>37.</t>
    </r>
    <r>
      <rPr>
        <sz val="11"/>
        <color theme="1"/>
        <rFont val="Calibri"/>
        <family val="2"/>
        <scheme val="minor"/>
      </rPr>
      <t xml:space="preserve"> Buồn bã quá mức khi bị tách khỏi bố mẹ</t>
    </r>
  </si>
  <si>
    <r>
      <t>38.</t>
    </r>
    <r>
      <rPr>
        <sz val="11"/>
        <color theme="1"/>
        <rFont val="Calibri"/>
        <family val="2"/>
        <scheme val="minor"/>
      </rPr>
      <t xml:space="preserve"> Gặp khó khăn khi vào giấc ngủ</t>
    </r>
  </si>
  <si>
    <r>
      <t>39.</t>
    </r>
    <r>
      <rPr>
        <sz val="11"/>
        <color theme="1"/>
        <rFont val="Calibri"/>
        <family val="2"/>
        <scheme val="minor"/>
      </rPr>
      <t xml:space="preserve"> Đau đầu (không phải nguyên nhân thực thể)</t>
    </r>
  </si>
  <si>
    <r>
      <t>40.</t>
    </r>
    <r>
      <rPr>
        <sz val="11"/>
        <color theme="1"/>
        <rFont val="Calibri"/>
        <family val="2"/>
        <scheme val="minor"/>
      </rPr>
      <t xml:space="preserve"> Đánh trẻ khác</t>
    </r>
  </si>
  <si>
    <r>
      <t>41.</t>
    </r>
    <r>
      <rPr>
        <sz val="11"/>
        <color theme="1"/>
        <rFont val="Calibri"/>
        <family val="2"/>
        <scheme val="minor"/>
      </rPr>
      <t xml:space="preserve"> Nín thở</t>
    </r>
  </si>
  <si>
    <r>
      <t>42.</t>
    </r>
    <r>
      <rPr>
        <sz val="11"/>
        <color theme="1"/>
        <rFont val="Calibri"/>
        <family val="2"/>
        <scheme val="minor"/>
      </rPr>
      <t xml:space="preserve"> Đánh con vật hoặc đánh người khác vô cớ</t>
    </r>
  </si>
  <si>
    <r>
      <t>43.</t>
    </r>
    <r>
      <rPr>
        <sz val="11"/>
        <color theme="1"/>
        <rFont val="Calibri"/>
        <family val="2"/>
        <scheme val="minor"/>
      </rPr>
      <t xml:space="preserve"> Trông buồn bã không có lý do chính đáng</t>
    </r>
  </si>
  <si>
    <r>
      <t>44.</t>
    </r>
    <r>
      <rPr>
        <sz val="11"/>
        <color theme="1"/>
        <rFont val="Calibri"/>
        <family val="2"/>
        <scheme val="minor"/>
      </rPr>
      <t xml:space="preserve"> Hay cáu bẳn, giận dữ.</t>
    </r>
  </si>
  <si>
    <r>
      <t>45.</t>
    </r>
    <r>
      <rPr>
        <sz val="11"/>
        <color theme="1"/>
        <rFont val="Calibri"/>
        <family val="2"/>
        <scheme val="minor"/>
      </rPr>
      <t xml:space="preserve"> Buồn nôn, cảm thấy mệt (không phải nguyên nhân bệnh cơ thể)</t>
    </r>
  </si>
  <si>
    <r>
      <t>46.</t>
    </r>
    <r>
      <rPr>
        <sz val="11"/>
        <color theme="1"/>
        <rFont val="Calibri"/>
        <family val="2"/>
        <scheme val="minor"/>
      </rPr>
      <t xml:space="preserve"> Máy giật cơ hoặc cử động không theo ý muốn (mô tả)...………………………………..</t>
    </r>
  </si>
  <si>
    <r>
      <t>47.</t>
    </r>
    <r>
      <rPr>
        <sz val="11"/>
        <color theme="1"/>
        <rFont val="Calibri"/>
        <family val="2"/>
        <scheme val="minor"/>
      </rPr>
      <t xml:space="preserve"> Hồi hộp, dễ xúc động hoặc căng thẳng.</t>
    </r>
  </si>
  <si>
    <r>
      <t>48</t>
    </r>
    <r>
      <rPr>
        <sz val="11"/>
        <color theme="1"/>
        <rFont val="Calibri"/>
        <family val="2"/>
        <scheme val="minor"/>
      </rPr>
      <t>. Ác mộng</t>
    </r>
  </si>
  <si>
    <r>
      <t>49.</t>
    </r>
    <r>
      <rPr>
        <sz val="11"/>
        <color theme="1"/>
        <rFont val="Calibri"/>
        <family val="2"/>
        <scheme val="minor"/>
      </rPr>
      <t xml:space="preserve"> Ăn quá nhiều</t>
    </r>
  </si>
  <si>
    <r>
      <t xml:space="preserve">50. </t>
    </r>
    <r>
      <rPr>
        <sz val="11"/>
        <color theme="1"/>
        <rFont val="Calibri"/>
        <family val="2"/>
        <scheme val="minor"/>
      </rPr>
      <t>Quá mệt mỏi</t>
    </r>
  </si>
  <si>
    <r>
      <t>51.</t>
    </r>
    <r>
      <rPr>
        <sz val="11"/>
        <color theme="1"/>
        <rFont val="Calibri"/>
        <family val="2"/>
        <scheme val="minor"/>
      </rPr>
      <t xml:space="preserve"> Biểu hiện hoảng sợ không có lý do chính đáng.</t>
    </r>
  </si>
  <si>
    <r>
      <t>52.</t>
    </r>
    <r>
      <rPr>
        <sz val="11"/>
        <color theme="1"/>
        <rFont val="Calibri"/>
        <family val="2"/>
        <scheme val="minor"/>
      </rPr>
      <t xml:space="preserve"> Đau khi đại tiện (Không phải nguyên nhân bệnh cơ thể)</t>
    </r>
  </si>
  <si>
    <r>
      <t>53.</t>
    </r>
    <r>
      <rPr>
        <sz val="11"/>
        <color theme="1"/>
        <rFont val="Calibri"/>
        <family val="2"/>
        <scheme val="minor"/>
      </rPr>
      <t xml:space="preserve"> Tấn công (làm đau) người khác.</t>
    </r>
  </si>
  <si>
    <r>
      <t>54</t>
    </r>
    <r>
      <rPr>
        <sz val="11"/>
        <color theme="1"/>
        <rFont val="Calibri"/>
        <family val="2"/>
        <scheme val="minor"/>
      </rPr>
      <t>. Ngoáy mũi, cậy da hoặc các bộ phận khác của cơ thể.</t>
    </r>
  </si>
  <si>
    <r>
      <t xml:space="preserve">55. </t>
    </r>
    <r>
      <rPr>
        <sz val="11"/>
        <color theme="1"/>
        <rFont val="Calibri"/>
        <family val="2"/>
        <scheme val="minor"/>
      </rPr>
      <t>Hay sờ mó bộ phận sinh dục</t>
    </r>
  </si>
  <si>
    <r>
      <t>56.</t>
    </r>
    <r>
      <rPr>
        <sz val="11"/>
        <color theme="1"/>
        <rFont val="Calibri"/>
        <family val="2"/>
        <scheme val="minor"/>
      </rPr>
      <t xml:space="preserve"> Kém phối hợp động tác, vụng về.</t>
    </r>
  </si>
  <si>
    <r>
      <t>57</t>
    </r>
    <r>
      <rPr>
        <sz val="11"/>
        <color theme="1"/>
        <rFont val="Calibri"/>
        <family val="2"/>
        <scheme val="minor"/>
      </rPr>
      <t xml:space="preserve">. Mắt có vấn đề (không phải nguyên nhân bệnh cơ thể) </t>
    </r>
  </si>
  <si>
    <r>
      <t>58.</t>
    </r>
    <r>
      <rPr>
        <sz val="11"/>
        <color theme="1"/>
        <rFont val="Calibri"/>
        <family val="2"/>
        <scheme val="minor"/>
      </rPr>
      <t xml:space="preserve"> Hình phạt không làm thay đổi được hành vi</t>
    </r>
  </si>
  <si>
    <r>
      <t>59.</t>
    </r>
    <r>
      <rPr>
        <sz val="11"/>
        <color theme="1"/>
        <rFont val="Calibri"/>
        <family val="2"/>
        <scheme val="minor"/>
      </rPr>
      <t xml:space="preserve"> Chuyển rất nhanh từ hoạt động này sang hoạt động khác</t>
    </r>
  </si>
  <si>
    <r>
      <t>60.</t>
    </r>
    <r>
      <rPr>
        <sz val="11"/>
        <color theme="1"/>
        <rFont val="Calibri"/>
        <family val="2"/>
        <scheme val="minor"/>
      </rPr>
      <t xml:space="preserve"> Mẩn đỏ hoặc có vấn đề về da (không phải nguyên nhân bệnh cơ thể) </t>
    </r>
  </si>
  <si>
    <r>
      <t>61</t>
    </r>
    <r>
      <rPr>
        <sz val="11"/>
        <color theme="1"/>
        <rFont val="Calibri"/>
        <family val="2"/>
        <scheme val="minor"/>
      </rPr>
      <t>. Từ chối ăn</t>
    </r>
  </si>
  <si>
    <r>
      <t>62.</t>
    </r>
    <r>
      <rPr>
        <sz val="11"/>
        <color theme="1"/>
        <rFont val="Calibri"/>
        <family val="2"/>
        <scheme val="minor"/>
      </rPr>
      <t xml:space="preserve"> Từ chối chơi trò chơi vận động.</t>
    </r>
  </si>
  <si>
    <r>
      <t>63</t>
    </r>
    <r>
      <rPr>
        <sz val="11"/>
        <color theme="1"/>
        <rFont val="Calibri"/>
        <family val="2"/>
        <scheme val="minor"/>
      </rPr>
      <t>. Lắc, đung đưa đầu hoặc cơ thể  lặp đi lặp lại</t>
    </r>
  </si>
  <si>
    <r>
      <t>64.</t>
    </r>
    <r>
      <rPr>
        <sz val="11"/>
        <color theme="1"/>
        <rFont val="Calibri"/>
        <family val="2"/>
        <scheme val="minor"/>
      </rPr>
      <t xml:space="preserve"> Kháng cự lại việc đi ngủ vào ban đêm.</t>
    </r>
  </si>
  <si>
    <r>
      <t>65.</t>
    </r>
    <r>
      <rPr>
        <sz val="11"/>
        <color theme="1"/>
        <rFont val="Calibri"/>
        <family val="2"/>
        <scheme val="minor"/>
      </rPr>
      <t xml:space="preserve"> Kháng cự lại việc luyện tập vệ sinh </t>
    </r>
  </si>
  <si>
    <r>
      <t>66.</t>
    </r>
    <r>
      <rPr>
        <sz val="11"/>
        <color theme="1"/>
        <rFont val="Calibri"/>
        <family val="2"/>
        <scheme val="minor"/>
      </rPr>
      <t xml:space="preserve"> Gào thét quá nhiều</t>
    </r>
  </si>
  <si>
    <r>
      <t xml:space="preserve">67. </t>
    </r>
    <r>
      <rPr>
        <sz val="11"/>
        <color theme="1"/>
        <rFont val="Calibri"/>
        <family val="2"/>
        <scheme val="minor"/>
      </rPr>
      <t>Dường như không đáp ứng với cảm xúc.</t>
    </r>
  </si>
  <si>
    <r>
      <t>68.</t>
    </r>
    <r>
      <rPr>
        <sz val="11"/>
        <color theme="1"/>
        <rFont val="Calibri"/>
        <family val="2"/>
        <scheme val="minor"/>
      </rPr>
      <t xml:space="preserve"> Ngượng ngùng hoặc dễ bối rối</t>
    </r>
  </si>
  <si>
    <r>
      <t>69.</t>
    </r>
    <r>
      <rPr>
        <sz val="11"/>
        <color theme="1"/>
        <rFont val="Calibri"/>
        <family val="2"/>
        <scheme val="minor"/>
      </rPr>
      <t xml:space="preserve"> Ích kỷ hoặc không muốn chia sẻ</t>
    </r>
  </si>
  <si>
    <r>
      <t>70.</t>
    </r>
    <r>
      <rPr>
        <sz val="11"/>
        <color theme="1"/>
        <rFont val="Calibri"/>
        <family val="2"/>
        <scheme val="minor"/>
      </rPr>
      <t xml:space="preserve"> Ít thể hiện cảm xúc với người khác</t>
    </r>
  </si>
  <si>
    <r>
      <t>71.</t>
    </r>
    <r>
      <rPr>
        <sz val="11"/>
        <color theme="1"/>
        <rFont val="Calibri"/>
        <family val="2"/>
        <scheme val="minor"/>
      </rPr>
      <t xml:space="preserve"> Ít thể hiện sự quan tâm, hứng thú đến đồ vật xung quanh</t>
    </r>
  </si>
  <si>
    <r>
      <t xml:space="preserve">72. </t>
    </r>
    <r>
      <rPr>
        <sz val="11"/>
        <color theme="1"/>
        <rFont val="Calibri"/>
        <family val="2"/>
        <scheme val="minor"/>
      </rPr>
      <t>Ít thể hiện sự sợ hãi khi bị đau</t>
    </r>
  </si>
  <si>
    <r>
      <t xml:space="preserve">73. </t>
    </r>
    <r>
      <rPr>
        <sz val="11"/>
        <color theme="1"/>
        <rFont val="Calibri"/>
        <family val="2"/>
        <scheme val="minor"/>
      </rPr>
      <t>Quá xấu hổ hoặc nhút nhát</t>
    </r>
  </si>
  <si>
    <r>
      <t>74.</t>
    </r>
    <r>
      <rPr>
        <sz val="11"/>
        <color theme="1"/>
        <rFont val="Calibri"/>
        <family val="2"/>
        <scheme val="minor"/>
      </rPr>
      <t xml:space="preserve"> Ngủ ít hơn trẻ khác vào ban ngày hoặc ban đêm</t>
    </r>
  </si>
  <si>
    <r>
      <t>75.</t>
    </r>
    <r>
      <rPr>
        <sz val="11"/>
        <color theme="1"/>
        <rFont val="Calibri"/>
        <family val="2"/>
        <scheme val="minor"/>
      </rPr>
      <t xml:space="preserve"> Bôi bẩn hoặc nghịch phân</t>
    </r>
  </si>
  <si>
    <r>
      <t>76.</t>
    </r>
    <r>
      <rPr>
        <sz val="11"/>
        <color theme="1"/>
        <rFont val="Calibri"/>
        <family val="2"/>
        <scheme val="minor"/>
      </rPr>
      <t xml:space="preserve"> Vấn đề về nói </t>
    </r>
  </si>
  <si>
    <r>
      <t>77.</t>
    </r>
    <r>
      <rPr>
        <sz val="11"/>
        <color theme="1"/>
        <rFont val="Calibri"/>
        <family val="2"/>
        <scheme val="minor"/>
      </rPr>
      <t xml:space="preserve"> Nhìn chằm chằm vào khoảng trống, dường như đang bận tâm về điều gì đó</t>
    </r>
  </si>
  <si>
    <r>
      <t>78.</t>
    </r>
    <r>
      <rPr>
        <sz val="11"/>
        <color theme="1"/>
        <rFont val="Calibri"/>
        <family val="2"/>
        <scheme val="minor"/>
      </rPr>
      <t xml:space="preserve"> Đau bụng, đau cơ (Không phải nguyên nhân bệnh cơ thể) </t>
    </r>
  </si>
  <si>
    <r>
      <t>79.</t>
    </r>
    <r>
      <rPr>
        <sz val="11"/>
        <color theme="1"/>
        <rFont val="Calibri"/>
        <family val="2"/>
        <scheme val="minor"/>
      </rPr>
      <t xml:space="preserve"> Thay đổi nhanh cảm xúc từ buồn sang vui và ngược lại</t>
    </r>
  </si>
  <si>
    <r>
      <t>80.</t>
    </r>
    <r>
      <rPr>
        <sz val="11"/>
        <color theme="1"/>
        <rFont val="Calibri"/>
        <family val="2"/>
        <scheme val="minor"/>
      </rPr>
      <t xml:space="preserve"> Hành vi lạ, kỳ quặc</t>
    </r>
  </si>
  <si>
    <r>
      <t>81.</t>
    </r>
    <r>
      <rPr>
        <sz val="11"/>
        <color theme="1"/>
        <rFont val="Calibri"/>
        <family val="2"/>
        <scheme val="minor"/>
      </rPr>
      <t xml:space="preserve"> Bướng bỉnh, sung sỉa hoặc dễ bị kích thích</t>
    </r>
  </si>
  <si>
    <r>
      <t>82</t>
    </r>
    <r>
      <rPr>
        <sz val="11"/>
        <color theme="1"/>
        <rFont val="Calibri"/>
        <family val="2"/>
        <scheme val="minor"/>
      </rPr>
      <t>. Thay đổi đột ngột cảm xúc và tình cảm</t>
    </r>
  </si>
  <si>
    <r>
      <t>83.</t>
    </r>
    <r>
      <rPr>
        <sz val="11"/>
        <color theme="1"/>
        <rFont val="Calibri"/>
        <family val="2"/>
        <scheme val="minor"/>
      </rPr>
      <t xml:space="preserve"> Hay mèo nheo</t>
    </r>
  </si>
  <si>
    <r>
      <t xml:space="preserve">84. </t>
    </r>
    <r>
      <rPr>
        <sz val="11"/>
        <color theme="1"/>
        <rFont val="Calibri"/>
        <family val="2"/>
        <scheme val="minor"/>
      </rPr>
      <t>Nói và khóc khi đang ngủ</t>
    </r>
  </si>
  <si>
    <r>
      <t>85</t>
    </r>
    <r>
      <rPr>
        <sz val="11"/>
        <color theme="1"/>
        <rFont val="Calibri"/>
        <family val="2"/>
        <scheme val="minor"/>
      </rPr>
      <t>. Có các cơn cáu kỉnh, nổi khùng hoặc tức giận</t>
    </r>
  </si>
  <si>
    <r>
      <t>86</t>
    </r>
    <r>
      <rPr>
        <sz val="11"/>
        <color theme="1"/>
        <rFont val="Calibri"/>
        <family val="2"/>
        <scheme val="minor"/>
      </rPr>
      <t>. Quá quan tâm đến gọn gàng và sạch sẽ</t>
    </r>
  </si>
  <si>
    <r>
      <t>87</t>
    </r>
    <r>
      <rPr>
        <sz val="11"/>
        <color theme="1"/>
        <rFont val="Calibri"/>
        <family val="2"/>
        <scheme val="minor"/>
      </rPr>
      <t>. Quá sợ hãi và lo âu</t>
    </r>
  </si>
  <si>
    <r>
      <t>88.</t>
    </r>
    <r>
      <rPr>
        <sz val="11"/>
        <color theme="1"/>
        <rFont val="Calibri"/>
        <family val="2"/>
        <scheme val="minor"/>
      </rPr>
      <t xml:space="preserve"> Không hợp tác</t>
    </r>
  </si>
  <si>
    <r>
      <t>89.</t>
    </r>
    <r>
      <rPr>
        <sz val="11"/>
        <color theme="1"/>
        <rFont val="Calibri"/>
        <family val="2"/>
        <scheme val="minor"/>
      </rPr>
      <t xml:space="preserve"> Kém hoạt động, chậm chạp hoặc uể oải, thiếu năng lượng.</t>
    </r>
  </si>
  <si>
    <r>
      <t>90.</t>
    </r>
    <r>
      <rPr>
        <sz val="11"/>
        <color theme="1"/>
        <rFont val="Calibri"/>
        <family val="2"/>
        <scheme val="minor"/>
      </rPr>
      <t xml:space="preserve"> Không vui vẻ, buồn rầu hoặc rầu rĩ</t>
    </r>
  </si>
  <si>
    <r>
      <t>91</t>
    </r>
    <r>
      <rPr>
        <sz val="11"/>
        <color theme="1"/>
        <rFont val="Calibri"/>
        <family val="2"/>
        <scheme val="minor"/>
      </rPr>
      <t>. Ầm ĩ một cách bất thường</t>
    </r>
  </si>
  <si>
    <r>
      <t>92</t>
    </r>
    <r>
      <rPr>
        <sz val="11"/>
        <color theme="1"/>
        <rFont val="Calibri"/>
        <family val="2"/>
        <scheme val="minor"/>
      </rPr>
      <t xml:space="preserve"> Bối rối trước người lạ hoặc tình huống lạ </t>
    </r>
  </si>
  <si>
    <r>
      <t>93</t>
    </r>
    <r>
      <rPr>
        <sz val="11"/>
        <color theme="1"/>
        <rFont val="Calibri"/>
        <family val="2"/>
        <scheme val="minor"/>
      </rPr>
      <t>. Nôn, trớ (không phải nguyên nhân  cơ thể)</t>
    </r>
  </si>
  <si>
    <r>
      <t xml:space="preserve">94. </t>
    </r>
    <r>
      <rPr>
        <sz val="11"/>
        <color theme="1"/>
        <rFont val="Calibri"/>
        <family val="2"/>
        <scheme val="minor"/>
      </rPr>
      <t>Thường tỉnh giấc ban đêm</t>
    </r>
  </si>
  <si>
    <r>
      <t>95.</t>
    </r>
    <r>
      <rPr>
        <sz val="11"/>
        <color theme="1"/>
        <rFont val="Calibri"/>
        <family val="2"/>
        <scheme val="minor"/>
      </rPr>
      <t xml:space="preserve"> Đi lang thang khỏi nhà</t>
    </r>
  </si>
  <si>
    <r>
      <t>97.</t>
    </r>
    <r>
      <rPr>
        <sz val="11"/>
        <color theme="1"/>
        <rFont val="Calibri"/>
        <family val="2"/>
        <scheme val="minor"/>
      </rPr>
      <t xml:space="preserve"> Khóc rên rỉ</t>
    </r>
  </si>
  <si>
    <r>
      <t>98</t>
    </r>
    <r>
      <rPr>
        <sz val="11"/>
        <color theme="1"/>
        <rFont val="Calibri"/>
        <family val="2"/>
        <scheme val="minor"/>
      </rPr>
      <t>. Thu mình, không muốn chơi với người khác.</t>
    </r>
  </si>
  <si>
    <r>
      <t>99.</t>
    </r>
    <r>
      <rPr>
        <sz val="11"/>
        <color theme="1"/>
        <rFont val="Calibri"/>
        <family val="2"/>
        <scheme val="minor"/>
      </rPr>
      <t xml:space="preserve"> Lo lắng</t>
    </r>
  </si>
  <si>
    <r>
      <t xml:space="preserve">BẢNG LIỆT KÊ HÀNH VI CHO TRẺ EM                                  </t>
    </r>
    <r>
      <rPr>
        <b/>
        <sz val="14"/>
        <color theme="1"/>
        <rFont val="Calibri"/>
        <family val="2"/>
        <scheme val="minor"/>
      </rPr>
      <t>( Từ 1,5 - 5 tuổi)</t>
    </r>
  </si>
  <si>
    <t>96. Thich gay chu y</t>
  </si>
  <si>
    <t>IV. Dễ từ bỏ, giảm hứng thú</t>
  </si>
  <si>
    <t>V. Vấn đề giấc ngủ</t>
  </si>
  <si>
    <t>VII. Hành vi hung tính</t>
  </si>
  <si>
    <t>Hướng ngoại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</si>
  <si>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</si>
  <si>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</si>
  <si>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</si>
  <si>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</si>
  <si>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</si>
  <si>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</si>
  <si>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</si>
  <si>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</si>
  <si>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</si>
  <si>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</si>
  <si>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</si>
  <si>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</si>
  <si>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</si>
  <si>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</si>
  <si>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</si>
  <si>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</si>
  <si>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</si>
  <si>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</si>
  <si>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</si>
  <si>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NQM</t>
  </si>
  <si>
    <t>Nữ</t>
  </si>
  <si>
    <t>Nam</t>
  </si>
  <si>
    <t xml:space="preserve">Giới tính </t>
  </si>
  <si>
    <t>Không biểu hiện</t>
  </si>
  <si>
    <t>Biều hiện rõ rệt</t>
  </si>
  <si>
    <t>Họ và tên trẻ  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</si>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</sst>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6"/>
      <color theme="1"/>
      <name val="Calibri"/>
      <family val="2"/>
      <charset val="163"/>
      <scheme val="minor"/>
    </font>
    <font>
      <i/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charset val="163"/>
      <scheme val="minor"/>
    </font>
    <font>
      <sz val="24"/>
      <color theme="1"/>
      <name val="Calibri"/>
      <family val="2"/>
      <charset val="163"/>
      <scheme val="minor"/>
    </font>
    <font>
      <b/>
      <sz val="24"/>
      <color theme="1"/>
      <name val="Calibri"/>
      <family val="2"/>
      <charset val="163"/>
      <scheme val="minor"/>
    </font>
    <font>
      <b/>
      <sz val="10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1" fontId="3" fillId="0" borderId="1" xfId="0" applyNumberFormat="1" applyFont="1" applyBorder="1" applyAlignment="1">
      <alignment vertical="center"/>
    </xf>
    <xf numFmtId="1" fontId="0" fillId="0" borderId="1" xfId="0" applyNumberFormat="1" applyBorder="1"/>
    <xf numFmtId="0" fontId="0" fillId="0" borderId="0" xfId="0" applyAlignment="1">
      <alignment horizontal="center"/>
    </xf>
    <xf numFmtId="0" fontId="4" fillId="0" borderId="0" xfId="0" applyFont="1" applyAlignment="1">
      <alignment vertical="center" wrapText="1"/>
    </xf>
    <xf numFmtId="1" fontId="0" fillId="0" borderId="3" xfId="0" applyNumberFormat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7" fillId="0" borderId="12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0" fillId="0" borderId="12" xfId="0" applyBorder="1"/>
    <xf numFmtId="0" fontId="0" fillId="0" borderId="0" xfId="0" applyBorder="1"/>
    <xf numFmtId="0" fontId="0" fillId="0" borderId="4" xfId="0" applyBorder="1" applyAlignment="1"/>
    <xf numFmtId="0" fontId="0" fillId="0" borderId="3" xfId="0" applyBorder="1" applyAlignment="1"/>
    <xf numFmtId="0" fontId="6" fillId="0" borderId="11" xfId="0" applyFont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/>
    <xf numFmtId="0" fontId="6" fillId="0" borderId="5" xfId="0" applyFont="1" applyBorder="1" applyAlignment="1">
      <alignment horizontal="center" vertical="center"/>
    </xf>
    <xf numFmtId="0" fontId="10" fillId="0" borderId="2" xfId="0" applyFont="1" applyBorder="1" applyAlignment="1">
      <alignment horizontal="justify"/>
    </xf>
    <xf numFmtId="0" fontId="10" fillId="0" borderId="2" xfId="0" applyFont="1" applyBorder="1" applyAlignment="1"/>
    <xf numFmtId="0" fontId="10" fillId="0" borderId="2" xfId="0" applyFont="1" applyBorder="1" applyAlignment="1">
      <alignment wrapText="1"/>
    </xf>
    <xf numFmtId="0" fontId="10" fillId="0" borderId="2" xfId="0" applyFont="1" applyBorder="1" applyAlignment="1">
      <alignment horizontal="left" wrapText="1"/>
    </xf>
    <xf numFmtId="1" fontId="0" fillId="0" borderId="4" xfId="0" applyNumberFormat="1" applyBorder="1" applyAlignment="1"/>
    <xf numFmtId="0" fontId="1" fillId="0" borderId="12" xfId="0" applyFont="1" applyFill="1" applyBorder="1" applyAlignment="1">
      <alignment horizontal="justify"/>
    </xf>
    <xf numFmtId="0" fontId="0" fillId="0" borderId="0" xfId="0" applyBorder="1" applyAlignment="1"/>
    <xf numFmtId="0" fontId="0" fillId="0" borderId="0" xfId="0" applyBorder="1" applyAlignment="1">
      <alignment wrapText="1"/>
    </xf>
    <xf numFmtId="1" fontId="0" fillId="0" borderId="0" xfId="0" applyNumberFormat="1" applyBorder="1"/>
    <xf numFmtId="1" fontId="0" fillId="0" borderId="1" xfId="0" applyNumberFormat="1" applyBorder="1" applyAlignment="1"/>
    <xf numFmtId="1" fontId="2" fillId="0" borderId="1" xfId="0" applyNumberFormat="1" applyFont="1" applyBorder="1" applyAlignment="1">
      <alignment vertical="center"/>
    </xf>
    <xf numFmtId="1" fontId="2" fillId="0" borderId="0" xfId="0" applyNumberFormat="1" applyFont="1" applyBorder="1" applyAlignment="1">
      <alignment vertical="center"/>
    </xf>
    <xf numFmtId="0" fontId="0" fillId="0" borderId="6" xfId="0" applyBorder="1"/>
    <xf numFmtId="0" fontId="0" fillId="0" borderId="1" xfId="0" applyBorder="1" applyAlignment="1"/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9" fillId="0" borderId="0" xfId="0" applyFont="1" applyAlignment="1">
      <alignment horizontal="left" vertical="top" wrapText="1"/>
    </xf>
    <xf numFmtId="0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20"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6720"/>
  <ax:ocxPr ax:name="_ExtentY" ax:value="7064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3950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</xdr:row>
          <xdr:rowOff>104775</xdr:rowOff>
        </xdr:from>
        <xdr:to>
          <xdr:col>6</xdr:col>
          <xdr:colOff>276225</xdr:colOff>
          <xdr:row>14</xdr:row>
          <xdr:rowOff>171450</xdr:rowOff>
        </xdr:to>
        <xdr:sp macro="" textlink="">
          <xdr:nvSpPr>
            <xdr:cNvPr id="6146" name="DTPicker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21</xdr:row>
          <xdr:rowOff>142875</xdr:rowOff>
        </xdr:from>
        <xdr:to>
          <xdr:col>2</xdr:col>
          <xdr:colOff>533400</xdr:colOff>
          <xdr:row>24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Kết Quả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S143" totalsRowShown="0" dataDxfId="19">
  <autoFilter ref="A1:S143"/>
  <tableColumns count="19">
    <tableColumn id="1" name="Column1" dataDxfId="18"/>
    <tableColumn id="2" name="Column2" dataDxfId="17"/>
    <tableColumn id="3" name="Column3" dataDxfId="16"/>
    <tableColumn id="4" name="Column4" dataDxfId="15"/>
    <tableColumn id="5" name="Column5" dataDxfId="14"/>
    <tableColumn id="6" name="Column6" dataDxfId="13"/>
    <tableColumn id="7" name="Column7" dataDxfId="12"/>
    <tableColumn id="8" name="Column8" dataDxfId="11"/>
    <tableColumn id="9" name="Column9" dataDxfId="10"/>
    <tableColumn id="10" name="Column10" dataDxfId="9"/>
    <tableColumn id="11" name="Column11" dataDxfId="8"/>
    <tableColumn id="12" name="Column12" dataDxfId="7"/>
    <tableColumn id="13" name="Column13" dataDxfId="6"/>
    <tableColumn id="14" name="Column14" dataDxfId="5"/>
    <tableColumn id="15" name="Column15" dataDxfId="4"/>
    <tableColumn id="16" name="Column16" dataDxfId="3"/>
    <tableColumn id="17" name="Column17" dataDxfId="2"/>
    <tableColumn id="18" name="Column18" dataDxfId="1"/>
    <tableColumn id="19" name="Column19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276"/>
  <sheetViews>
    <sheetView tabSelected="1" workbookViewId="0">
      <selection activeCell="I9" sqref="I9"/>
    </sheetView>
  </sheetViews>
  <sheetFormatPr defaultRowHeight="15" x14ac:dyDescent="0.25"/>
  <cols>
    <col min="2" max="2" width="6.85546875" customWidth="1"/>
    <col min="3" max="3" width="33.5703125" customWidth="1"/>
    <col min="4" max="4" width="14.28515625" customWidth="1"/>
    <col min="5" max="5" width="3.140625" customWidth="1"/>
    <col min="6" max="6" width="10.7109375" customWidth="1"/>
    <col min="7" max="7" width="11.85546875" customWidth="1"/>
    <col min="8" max="8" width="8.7109375" customWidth="1"/>
  </cols>
  <sheetData>
    <row r="1" spans="2:6" ht="31.5" customHeight="1" x14ac:dyDescent="0.25">
      <c r="B1" s="37" t="s">
        <v>17</v>
      </c>
      <c r="C1" s="37"/>
      <c r="D1" s="6"/>
      <c r="E1" s="6"/>
      <c r="F1" s="6"/>
    </row>
    <row r="2" spans="2:6" ht="59.25" customHeight="1" x14ac:dyDescent="0.25">
      <c r="C2" s="40" t="s">
        <v>116</v>
      </c>
      <c r="D2" s="40"/>
      <c r="E2" s="40"/>
      <c r="F2" s="40"/>
    </row>
    <row r="3" spans="2:6" ht="24" customHeight="1" x14ac:dyDescent="0.25">
      <c r="C3" s="42" t="s">
        <v>3</v>
      </c>
      <c r="D3" s="42"/>
      <c r="E3" s="42"/>
      <c r="F3" s="42"/>
    </row>
    <row r="4" spans="2:6" ht="24" customHeight="1" x14ac:dyDescent="0.25">
      <c r="C4" s="8" t="s">
        <v>147</v>
      </c>
      <c r="D4" s="41"/>
      <c r="E4" s="41"/>
      <c r="F4" s="41"/>
    </row>
    <row r="5" spans="2:6" ht="24" customHeight="1" x14ac:dyDescent="0.25">
      <c r="C5" s="8" t="s">
        <v>0</v>
      </c>
      <c r="D5" s="41" t="s">
        <v>142</v>
      </c>
      <c r="E5" s="41"/>
      <c r="F5" s="41"/>
    </row>
    <row r="6" spans="2:6" ht="24" customHeight="1" x14ac:dyDescent="0.25">
      <c r="C6" s="8" t="s">
        <v>1</v>
      </c>
      <c r="D6" s="39">
        <v>35619</v>
      </c>
      <c r="E6" s="39"/>
      <c r="F6" s="39"/>
    </row>
    <row r="7" spans="2:6" ht="28.5" customHeight="1" x14ac:dyDescent="0.25">
      <c r="C7" s="8" t="s">
        <v>2</v>
      </c>
      <c r="D7" s="38">
        <f ca="1">IF(MONTH(D6)&lt;MONTH(TODAY()),DATEDIF(D6,TODAY(),"y"),SUM(DATEDIF(D6,TODAY(),"y"),1))</f>
        <v>23</v>
      </c>
      <c r="E7" s="38"/>
      <c r="F7" s="38"/>
    </row>
    <row r="8" spans="2:6" ht="27.75" customHeight="1" x14ac:dyDescent="0.25">
      <c r="C8" s="16" t="s">
        <v>14</v>
      </c>
      <c r="D8" s="17"/>
      <c r="E8" s="18"/>
      <c r="F8" s="19" t="s">
        <v>15</v>
      </c>
    </row>
    <row r="9" spans="2:6" ht="48" customHeight="1" x14ac:dyDescent="0.25">
      <c r="C9" s="20" t="s">
        <v>18</v>
      </c>
      <c r="D9" s="14"/>
      <c r="E9" s="15"/>
      <c r="F9" s="7">
        <v>0</v>
      </c>
    </row>
    <row r="10" spans="2:6" ht="33.75" customHeight="1" x14ac:dyDescent="0.25">
      <c r="C10" s="20" t="s">
        <v>19</v>
      </c>
      <c r="D10" s="14"/>
      <c r="E10" s="15"/>
      <c r="F10" s="34">
        <v>0</v>
      </c>
    </row>
    <row r="11" spans="2:6" ht="33.75" customHeight="1" x14ac:dyDescent="0.25">
      <c r="C11" s="20" t="s">
        <v>20</v>
      </c>
      <c r="D11" s="14"/>
      <c r="E11" s="15"/>
      <c r="F11" s="34">
        <v>0</v>
      </c>
    </row>
    <row r="12" spans="2:6" ht="45.75" customHeight="1" x14ac:dyDescent="0.25">
      <c r="C12" s="20" t="s">
        <v>21</v>
      </c>
      <c r="D12" s="14"/>
      <c r="E12" s="15"/>
      <c r="F12" s="34">
        <v>0</v>
      </c>
    </row>
    <row r="13" spans="2:6" ht="33.75" customHeight="1" x14ac:dyDescent="0.25">
      <c r="C13" s="20" t="s">
        <v>22</v>
      </c>
      <c r="D13" s="14"/>
      <c r="E13" s="15"/>
      <c r="F13" s="34">
        <v>0</v>
      </c>
    </row>
    <row r="14" spans="2:6" ht="33.75" customHeight="1" x14ac:dyDescent="0.25">
      <c r="C14" s="20" t="s">
        <v>23</v>
      </c>
      <c r="D14" s="24"/>
      <c r="E14" s="15"/>
      <c r="F14" s="34">
        <v>0</v>
      </c>
    </row>
    <row r="15" spans="2:6" ht="33.75" customHeight="1" x14ac:dyDescent="0.25">
      <c r="C15" s="20" t="s">
        <v>24</v>
      </c>
      <c r="D15" s="14"/>
      <c r="E15" s="15"/>
      <c r="F15" s="34">
        <v>2</v>
      </c>
    </row>
    <row r="16" spans="2:6" ht="45.75" customHeight="1" x14ac:dyDescent="0.25">
      <c r="C16" s="20" t="s">
        <v>25</v>
      </c>
      <c r="D16" s="14"/>
      <c r="E16" s="15"/>
      <c r="F16" s="34">
        <v>0</v>
      </c>
    </row>
    <row r="17" spans="3:6" ht="45.75" customHeight="1" x14ac:dyDescent="0.25">
      <c r="C17" s="20" t="s">
        <v>26</v>
      </c>
      <c r="D17" s="14"/>
      <c r="E17" s="15"/>
      <c r="F17" s="34">
        <v>0</v>
      </c>
    </row>
    <row r="18" spans="3:6" ht="33.75" customHeight="1" x14ac:dyDescent="0.25">
      <c r="C18" s="20" t="s">
        <v>27</v>
      </c>
      <c r="D18" s="14"/>
      <c r="E18" s="15"/>
      <c r="F18" s="34">
        <v>0</v>
      </c>
    </row>
    <row r="19" spans="3:6" ht="33.75" customHeight="1" x14ac:dyDescent="0.25">
      <c r="C19" s="20" t="s">
        <v>28</v>
      </c>
      <c r="D19" s="14"/>
      <c r="E19" s="15"/>
      <c r="F19" s="34">
        <v>0</v>
      </c>
    </row>
    <row r="20" spans="3:6" ht="33.75" customHeight="1" x14ac:dyDescent="0.25">
      <c r="C20" s="20" t="s">
        <v>29</v>
      </c>
      <c r="D20" s="14"/>
      <c r="E20" s="15"/>
      <c r="F20" s="34">
        <v>0</v>
      </c>
    </row>
    <row r="21" spans="3:6" ht="33.75" customHeight="1" x14ac:dyDescent="0.25">
      <c r="C21" s="20" t="s">
        <v>30</v>
      </c>
      <c r="D21" s="14"/>
      <c r="E21" s="15"/>
      <c r="F21" s="34">
        <v>0</v>
      </c>
    </row>
    <row r="22" spans="3:6" ht="33.75" customHeight="1" x14ac:dyDescent="0.25">
      <c r="C22" s="20" t="s">
        <v>31</v>
      </c>
      <c r="D22" s="14"/>
      <c r="E22" s="15"/>
      <c r="F22" s="34">
        <v>0</v>
      </c>
    </row>
    <row r="23" spans="3:6" ht="33.75" customHeight="1" x14ac:dyDescent="0.25">
      <c r="C23" s="20" t="s">
        <v>32</v>
      </c>
      <c r="D23" s="14"/>
      <c r="E23" s="15"/>
      <c r="F23" s="34">
        <v>0</v>
      </c>
    </row>
    <row r="24" spans="3:6" ht="33.75" customHeight="1" x14ac:dyDescent="0.25">
      <c r="C24" s="20" t="s">
        <v>33</v>
      </c>
      <c r="D24" s="14"/>
      <c r="E24" s="15"/>
      <c r="F24" s="34">
        <v>0</v>
      </c>
    </row>
    <row r="25" spans="3:6" ht="33.75" customHeight="1" x14ac:dyDescent="0.25">
      <c r="C25" s="20" t="s">
        <v>34</v>
      </c>
      <c r="D25" s="14"/>
      <c r="E25" s="15"/>
      <c r="F25" s="34">
        <v>0</v>
      </c>
    </row>
    <row r="26" spans="3:6" ht="33.75" customHeight="1" x14ac:dyDescent="0.25">
      <c r="C26" s="20" t="s">
        <v>35</v>
      </c>
      <c r="D26" s="14"/>
      <c r="E26" s="15"/>
      <c r="F26" s="34">
        <v>0</v>
      </c>
    </row>
    <row r="27" spans="3:6" ht="33.75" customHeight="1" x14ac:dyDescent="0.25">
      <c r="C27" s="20" t="s">
        <v>36</v>
      </c>
      <c r="D27" s="14"/>
      <c r="E27" s="15"/>
      <c r="F27" s="34">
        <v>0</v>
      </c>
    </row>
    <row r="28" spans="3:6" ht="33.75" customHeight="1" x14ac:dyDescent="0.25">
      <c r="C28" s="20" t="s">
        <v>37</v>
      </c>
      <c r="D28" s="14"/>
      <c r="E28" s="15"/>
      <c r="F28" s="34">
        <v>0</v>
      </c>
    </row>
    <row r="29" spans="3:6" ht="33.75" customHeight="1" x14ac:dyDescent="0.25">
      <c r="C29" s="20" t="s">
        <v>38</v>
      </c>
      <c r="D29" s="14"/>
      <c r="E29" s="15"/>
      <c r="F29" s="34">
        <v>0</v>
      </c>
    </row>
    <row r="30" spans="3:6" ht="33.75" customHeight="1" x14ac:dyDescent="0.25">
      <c r="C30" s="20" t="s">
        <v>39</v>
      </c>
      <c r="D30" s="14"/>
      <c r="E30" s="15"/>
      <c r="F30" s="34">
        <v>0</v>
      </c>
    </row>
    <row r="31" spans="3:6" ht="33.75" customHeight="1" x14ac:dyDescent="0.25">
      <c r="C31" s="20" t="s">
        <v>40</v>
      </c>
      <c r="D31" s="14"/>
      <c r="E31" s="15"/>
      <c r="F31" s="34">
        <v>0</v>
      </c>
    </row>
    <row r="32" spans="3:6" ht="33.75" customHeight="1" x14ac:dyDescent="0.25">
      <c r="C32" s="21" t="s">
        <v>41</v>
      </c>
      <c r="D32" s="14"/>
      <c r="E32" s="15"/>
      <c r="F32" s="34">
        <v>0</v>
      </c>
    </row>
    <row r="33" spans="3:6" ht="33.75" customHeight="1" x14ac:dyDescent="0.25">
      <c r="C33" s="21" t="s">
        <v>42</v>
      </c>
      <c r="D33" s="14"/>
      <c r="E33" s="15"/>
      <c r="F33" s="34">
        <v>0</v>
      </c>
    </row>
    <row r="34" spans="3:6" ht="33.75" customHeight="1" x14ac:dyDescent="0.25">
      <c r="C34" s="20" t="s">
        <v>43</v>
      </c>
      <c r="D34" s="14"/>
      <c r="E34" s="15"/>
      <c r="F34" s="34">
        <v>0</v>
      </c>
    </row>
    <row r="35" spans="3:6" ht="33.75" customHeight="1" x14ac:dyDescent="0.25">
      <c r="C35" s="20" t="s">
        <v>44</v>
      </c>
      <c r="D35" s="14"/>
      <c r="E35" s="15"/>
      <c r="F35" s="34">
        <v>0</v>
      </c>
    </row>
    <row r="36" spans="3:6" ht="33.75" customHeight="1" x14ac:dyDescent="0.25">
      <c r="C36" s="20" t="s">
        <v>45</v>
      </c>
      <c r="D36" s="14"/>
      <c r="E36" s="15"/>
      <c r="F36" s="34">
        <v>0</v>
      </c>
    </row>
    <row r="37" spans="3:6" ht="35.25" customHeight="1" x14ac:dyDescent="0.25">
      <c r="C37" s="20" t="s">
        <v>46</v>
      </c>
      <c r="D37" s="14"/>
      <c r="E37" s="15"/>
      <c r="F37" s="34">
        <v>0</v>
      </c>
    </row>
    <row r="38" spans="3:6" ht="32.25" customHeight="1" x14ac:dyDescent="0.25">
      <c r="C38" s="20" t="s">
        <v>47</v>
      </c>
      <c r="D38" s="14"/>
      <c r="E38" s="15"/>
      <c r="F38" s="34">
        <v>0</v>
      </c>
    </row>
    <row r="39" spans="3:6" ht="33.75" customHeight="1" x14ac:dyDescent="0.25">
      <c r="C39" s="20" t="s">
        <v>48</v>
      </c>
      <c r="D39" s="14"/>
      <c r="E39" s="15"/>
      <c r="F39" s="34">
        <v>0</v>
      </c>
    </row>
    <row r="40" spans="3:6" ht="33.75" customHeight="1" x14ac:dyDescent="0.25">
      <c r="C40" s="22" t="s">
        <v>49</v>
      </c>
      <c r="D40" s="14"/>
      <c r="E40" s="15"/>
      <c r="F40" s="34">
        <v>0</v>
      </c>
    </row>
    <row r="41" spans="3:6" ht="33.75" customHeight="1" x14ac:dyDescent="0.25">
      <c r="C41" s="20" t="s">
        <v>50</v>
      </c>
      <c r="D41" s="14"/>
      <c r="E41" s="15"/>
      <c r="F41" s="34">
        <v>0</v>
      </c>
    </row>
    <row r="42" spans="3:6" ht="33.75" customHeight="1" x14ac:dyDescent="0.25">
      <c r="C42" s="20" t="s">
        <v>51</v>
      </c>
      <c r="D42" s="14"/>
      <c r="E42" s="15"/>
      <c r="F42" s="34">
        <v>0</v>
      </c>
    </row>
    <row r="43" spans="3:6" ht="33.75" customHeight="1" x14ac:dyDescent="0.25">
      <c r="C43" s="20" t="s">
        <v>52</v>
      </c>
      <c r="D43" s="14"/>
      <c r="E43" s="15"/>
      <c r="F43" s="34">
        <v>0</v>
      </c>
    </row>
    <row r="44" spans="3:6" ht="33.75" customHeight="1" x14ac:dyDescent="0.25">
      <c r="C44" s="20" t="s">
        <v>53</v>
      </c>
      <c r="D44" s="14"/>
      <c r="E44" s="15"/>
      <c r="F44" s="34">
        <v>0</v>
      </c>
    </row>
    <row r="45" spans="3:6" ht="33.75" customHeight="1" x14ac:dyDescent="0.25">
      <c r="C45" s="20" t="s">
        <v>54</v>
      </c>
      <c r="D45" s="14"/>
      <c r="E45" s="15"/>
      <c r="F45" s="34">
        <v>0</v>
      </c>
    </row>
    <row r="46" spans="3:6" ht="33.75" customHeight="1" x14ac:dyDescent="0.25">
      <c r="C46" s="20" t="s">
        <v>55</v>
      </c>
      <c r="D46" s="14"/>
      <c r="E46" s="15"/>
      <c r="F46" s="34">
        <v>0</v>
      </c>
    </row>
    <row r="47" spans="3:6" ht="44.25" customHeight="1" x14ac:dyDescent="0.25">
      <c r="C47" s="20" t="s">
        <v>56</v>
      </c>
      <c r="D47" s="14"/>
      <c r="E47" s="15"/>
      <c r="F47" s="34">
        <v>0</v>
      </c>
    </row>
    <row r="48" spans="3:6" ht="47.25" customHeight="1" x14ac:dyDescent="0.25">
      <c r="C48" s="20" t="s">
        <v>57</v>
      </c>
      <c r="D48" s="14"/>
      <c r="E48" s="15"/>
      <c r="F48" s="34">
        <v>0</v>
      </c>
    </row>
    <row r="49" spans="3:6" ht="33.75" customHeight="1" x14ac:dyDescent="0.25">
      <c r="C49" s="20" t="s">
        <v>58</v>
      </c>
      <c r="D49" s="14"/>
      <c r="E49" s="15"/>
      <c r="F49" s="34">
        <v>0</v>
      </c>
    </row>
    <row r="50" spans="3:6" ht="33.75" customHeight="1" x14ac:dyDescent="0.25">
      <c r="C50" s="20" t="s">
        <v>59</v>
      </c>
      <c r="D50" s="14"/>
      <c r="E50" s="15"/>
      <c r="F50" s="34">
        <v>0</v>
      </c>
    </row>
    <row r="51" spans="3:6" ht="33.75" customHeight="1" x14ac:dyDescent="0.25">
      <c r="C51" s="20" t="s">
        <v>60</v>
      </c>
      <c r="D51" s="14"/>
      <c r="E51" s="15"/>
      <c r="F51" s="34">
        <v>0</v>
      </c>
    </row>
    <row r="52" spans="3:6" ht="33.75" customHeight="1" x14ac:dyDescent="0.25">
      <c r="C52" s="20" t="s">
        <v>61</v>
      </c>
      <c r="D52" s="14"/>
      <c r="E52" s="15"/>
      <c r="F52" s="34">
        <v>0</v>
      </c>
    </row>
    <row r="53" spans="3:6" ht="33.75" customHeight="1" x14ac:dyDescent="0.25">
      <c r="C53" s="20" t="s">
        <v>62</v>
      </c>
      <c r="D53" s="14"/>
      <c r="E53" s="15"/>
      <c r="F53" s="34">
        <v>0</v>
      </c>
    </row>
    <row r="54" spans="3:6" ht="38.25" customHeight="1" x14ac:dyDescent="0.25">
      <c r="C54" s="23" t="s">
        <v>63</v>
      </c>
      <c r="D54" s="14"/>
      <c r="E54" s="15"/>
      <c r="F54" s="34">
        <v>0</v>
      </c>
    </row>
    <row r="55" spans="3:6" ht="33.75" customHeight="1" x14ac:dyDescent="0.25">
      <c r="C55" s="20" t="s">
        <v>64</v>
      </c>
      <c r="D55" s="14"/>
      <c r="E55" s="15"/>
      <c r="F55" s="34">
        <v>0</v>
      </c>
    </row>
    <row r="56" spans="3:6" ht="33.75" customHeight="1" x14ac:dyDescent="0.25">
      <c r="C56" s="20" t="s">
        <v>65</v>
      </c>
      <c r="D56" s="14"/>
      <c r="E56" s="15"/>
      <c r="F56" s="34">
        <v>0</v>
      </c>
    </row>
    <row r="57" spans="3:6" ht="56.25" customHeight="1" x14ac:dyDescent="0.25">
      <c r="C57" s="20" t="s">
        <v>66</v>
      </c>
      <c r="D57" s="14"/>
      <c r="E57" s="15"/>
      <c r="F57" s="34">
        <v>0</v>
      </c>
    </row>
    <row r="58" spans="3:6" ht="33.75" customHeight="1" x14ac:dyDescent="0.25">
      <c r="C58" s="21" t="s">
        <v>67</v>
      </c>
      <c r="D58" s="14"/>
      <c r="E58" s="15"/>
      <c r="F58" s="34">
        <v>0</v>
      </c>
    </row>
    <row r="59" spans="3:6" ht="33.75" customHeight="1" x14ac:dyDescent="0.25">
      <c r="C59" s="20" t="s">
        <v>68</v>
      </c>
      <c r="D59" s="14"/>
      <c r="E59" s="15"/>
      <c r="F59" s="34">
        <v>0</v>
      </c>
    </row>
    <row r="60" spans="3:6" ht="33.75" customHeight="1" x14ac:dyDescent="0.25">
      <c r="C60" s="20" t="s">
        <v>69</v>
      </c>
      <c r="D60" s="14"/>
      <c r="E60" s="15"/>
      <c r="F60" s="34">
        <v>0</v>
      </c>
    </row>
    <row r="61" spans="3:6" ht="33.75" customHeight="1" x14ac:dyDescent="0.25">
      <c r="C61" s="20" t="s">
        <v>70</v>
      </c>
      <c r="D61" s="14"/>
      <c r="E61" s="15"/>
      <c r="F61" s="34">
        <v>0</v>
      </c>
    </row>
    <row r="62" spans="3:6" ht="33.75" customHeight="1" x14ac:dyDescent="0.25">
      <c r="C62" s="20" t="s">
        <v>71</v>
      </c>
      <c r="D62" s="14"/>
      <c r="E62" s="15"/>
      <c r="F62" s="34">
        <v>0</v>
      </c>
    </row>
    <row r="63" spans="3:6" ht="33.75" customHeight="1" x14ac:dyDescent="0.25">
      <c r="C63" s="20" t="s">
        <v>72</v>
      </c>
      <c r="D63" s="14"/>
      <c r="E63" s="15"/>
      <c r="F63" s="34">
        <v>0</v>
      </c>
    </row>
    <row r="64" spans="3:6" ht="33.75" customHeight="1" x14ac:dyDescent="0.25">
      <c r="C64" s="20" t="s">
        <v>73</v>
      </c>
      <c r="D64" s="14"/>
      <c r="E64" s="15"/>
      <c r="F64" s="34">
        <v>2</v>
      </c>
    </row>
    <row r="65" spans="3:6" ht="33.75" customHeight="1" x14ac:dyDescent="0.25">
      <c r="C65" s="20" t="s">
        <v>74</v>
      </c>
      <c r="D65" s="14"/>
      <c r="E65" s="15"/>
      <c r="F65" s="34">
        <v>0</v>
      </c>
    </row>
    <row r="66" spans="3:6" ht="33.75" customHeight="1" x14ac:dyDescent="0.25">
      <c r="C66" s="20" t="s">
        <v>75</v>
      </c>
      <c r="D66" s="14"/>
      <c r="E66" s="15"/>
      <c r="F66" s="34">
        <v>0</v>
      </c>
    </row>
    <row r="67" spans="3:6" ht="47.25" customHeight="1" x14ac:dyDescent="0.25">
      <c r="C67" s="20" t="s">
        <v>76</v>
      </c>
      <c r="D67" s="14"/>
      <c r="E67" s="15"/>
      <c r="F67" s="34">
        <v>0</v>
      </c>
    </row>
    <row r="68" spans="3:6" ht="43.5" customHeight="1" x14ac:dyDescent="0.25">
      <c r="C68" s="20" t="s">
        <v>77</v>
      </c>
      <c r="D68" s="14"/>
      <c r="E68" s="15"/>
      <c r="F68" s="34">
        <v>0</v>
      </c>
    </row>
    <row r="69" spans="3:6" ht="33.75" customHeight="1" x14ac:dyDescent="0.25">
      <c r="C69" s="20" t="s">
        <v>78</v>
      </c>
      <c r="D69" s="14"/>
      <c r="E69" s="15"/>
      <c r="F69" s="34">
        <v>0</v>
      </c>
    </row>
    <row r="70" spans="3:6" ht="33.75" customHeight="1" x14ac:dyDescent="0.25">
      <c r="C70" s="20" t="s">
        <v>79</v>
      </c>
      <c r="D70" s="14"/>
      <c r="E70" s="15"/>
      <c r="F70" s="34">
        <v>0</v>
      </c>
    </row>
    <row r="71" spans="3:6" ht="33.75" customHeight="1" x14ac:dyDescent="0.25">
      <c r="C71" s="20" t="s">
        <v>80</v>
      </c>
      <c r="D71" s="14"/>
      <c r="E71" s="15"/>
      <c r="F71" s="34">
        <v>0</v>
      </c>
    </row>
    <row r="72" spans="3:6" ht="33.75" customHeight="1" x14ac:dyDescent="0.25">
      <c r="C72" s="20" t="s">
        <v>81</v>
      </c>
      <c r="D72" s="14"/>
      <c r="E72" s="15"/>
      <c r="F72" s="34">
        <v>0</v>
      </c>
    </row>
    <row r="73" spans="3:6" ht="33.75" customHeight="1" x14ac:dyDescent="0.25">
      <c r="C73" s="20" t="s">
        <v>82</v>
      </c>
      <c r="D73" s="14"/>
      <c r="E73" s="15"/>
      <c r="F73" s="34">
        <v>0</v>
      </c>
    </row>
    <row r="74" spans="3:6" ht="33.75" customHeight="1" x14ac:dyDescent="0.25">
      <c r="C74" s="20" t="s">
        <v>83</v>
      </c>
      <c r="D74" s="14"/>
      <c r="E74" s="15"/>
      <c r="F74" s="34">
        <v>0</v>
      </c>
    </row>
    <row r="75" spans="3:6" ht="33.75" customHeight="1" x14ac:dyDescent="0.25">
      <c r="C75" s="20" t="s">
        <v>84</v>
      </c>
      <c r="D75" s="14"/>
      <c r="E75" s="15"/>
      <c r="F75" s="34">
        <v>2</v>
      </c>
    </row>
    <row r="76" spans="3:6" ht="33.75" customHeight="1" x14ac:dyDescent="0.25">
      <c r="C76" s="20" t="s">
        <v>85</v>
      </c>
      <c r="D76" s="14"/>
      <c r="E76" s="15"/>
      <c r="F76" s="34">
        <v>1</v>
      </c>
    </row>
    <row r="77" spans="3:6" ht="33.75" customHeight="1" x14ac:dyDescent="0.25">
      <c r="C77" s="20" t="s">
        <v>86</v>
      </c>
      <c r="D77" s="14"/>
      <c r="E77" s="15"/>
      <c r="F77" s="34">
        <v>2</v>
      </c>
    </row>
    <row r="78" spans="3:6" ht="33.75" customHeight="1" x14ac:dyDescent="0.25">
      <c r="C78" s="20" t="s">
        <v>87</v>
      </c>
      <c r="D78" s="14"/>
      <c r="E78" s="15"/>
      <c r="F78" s="34">
        <v>2</v>
      </c>
    </row>
    <row r="79" spans="3:6" ht="33.75" customHeight="1" x14ac:dyDescent="0.25">
      <c r="C79" s="20" t="s">
        <v>88</v>
      </c>
      <c r="D79" s="14"/>
      <c r="E79" s="15"/>
      <c r="F79" s="34">
        <v>2</v>
      </c>
    </row>
    <row r="80" spans="3:6" ht="33.75" customHeight="1" x14ac:dyDescent="0.25">
      <c r="C80" s="20" t="s">
        <v>89</v>
      </c>
      <c r="D80" s="14"/>
      <c r="E80" s="15"/>
      <c r="F80" s="34">
        <v>0</v>
      </c>
    </row>
    <row r="81" spans="3:6" ht="33.75" customHeight="1" x14ac:dyDescent="0.25">
      <c r="C81" s="20" t="s">
        <v>90</v>
      </c>
      <c r="D81" s="14"/>
      <c r="E81" s="15"/>
      <c r="F81" s="34">
        <v>0</v>
      </c>
    </row>
    <row r="82" spans="3:6" ht="33.75" customHeight="1" x14ac:dyDescent="0.25">
      <c r="C82" s="20" t="s">
        <v>91</v>
      </c>
      <c r="D82" s="14"/>
      <c r="E82" s="15"/>
      <c r="F82" s="34">
        <v>0</v>
      </c>
    </row>
    <row r="83" spans="3:6" ht="33.75" customHeight="1" x14ac:dyDescent="0.25">
      <c r="C83" s="21" t="s">
        <v>92</v>
      </c>
      <c r="D83" s="14"/>
      <c r="E83" s="15"/>
      <c r="F83" s="34">
        <v>0</v>
      </c>
    </row>
    <row r="84" spans="3:6" ht="33.75" customHeight="1" x14ac:dyDescent="0.25">
      <c r="C84" s="20" t="s">
        <v>93</v>
      </c>
      <c r="D84" s="14"/>
      <c r="E84" s="15"/>
      <c r="F84" s="34">
        <v>0</v>
      </c>
    </row>
    <row r="85" spans="3:6" ht="57.75" customHeight="1" x14ac:dyDescent="0.25">
      <c r="C85" s="20" t="s">
        <v>94</v>
      </c>
      <c r="D85" s="14"/>
      <c r="E85" s="15"/>
      <c r="F85" s="34">
        <v>0</v>
      </c>
    </row>
    <row r="86" spans="3:6" ht="33.75" customHeight="1" x14ac:dyDescent="0.25">
      <c r="C86" s="20" t="s">
        <v>95</v>
      </c>
      <c r="D86" s="14"/>
      <c r="E86" s="15"/>
      <c r="F86" s="34">
        <v>0</v>
      </c>
    </row>
    <row r="87" spans="3:6" ht="33.75" customHeight="1" x14ac:dyDescent="0.25">
      <c r="C87" s="20" t="s">
        <v>96</v>
      </c>
      <c r="D87" s="14"/>
      <c r="E87" s="15"/>
      <c r="F87" s="34">
        <v>2</v>
      </c>
    </row>
    <row r="88" spans="3:6" ht="49.5" customHeight="1" x14ac:dyDescent="0.25">
      <c r="C88" s="20" t="s">
        <v>97</v>
      </c>
      <c r="D88" s="14"/>
      <c r="E88" s="15"/>
      <c r="F88" s="34">
        <v>2</v>
      </c>
    </row>
    <row r="89" spans="3:6" ht="33.75" customHeight="1" x14ac:dyDescent="0.25">
      <c r="C89" s="20" t="s">
        <v>98</v>
      </c>
      <c r="D89" s="14"/>
      <c r="E89" s="15"/>
      <c r="F89" s="34">
        <v>0</v>
      </c>
    </row>
    <row r="90" spans="3:6" ht="33.75" customHeight="1" x14ac:dyDescent="0.25">
      <c r="C90" s="20" t="s">
        <v>99</v>
      </c>
      <c r="D90" s="14"/>
      <c r="E90" s="15"/>
      <c r="F90" s="34">
        <v>0</v>
      </c>
    </row>
    <row r="91" spans="3:6" ht="33.75" customHeight="1" x14ac:dyDescent="0.25">
      <c r="C91" s="20" t="s">
        <v>100</v>
      </c>
      <c r="D91" s="14"/>
      <c r="E91" s="15"/>
      <c r="F91" s="34">
        <v>0</v>
      </c>
    </row>
    <row r="92" spans="3:6" ht="33.75" customHeight="1" x14ac:dyDescent="0.25">
      <c r="C92" s="20" t="s">
        <v>101</v>
      </c>
      <c r="D92" s="14"/>
      <c r="E92" s="15"/>
      <c r="F92" s="34">
        <v>0</v>
      </c>
    </row>
    <row r="93" spans="3:6" ht="33.75" customHeight="1" x14ac:dyDescent="0.25">
      <c r="C93" s="20" t="s">
        <v>102</v>
      </c>
      <c r="D93" s="14"/>
      <c r="E93" s="15"/>
      <c r="F93" s="34">
        <v>0</v>
      </c>
    </row>
    <row r="94" spans="3:6" ht="33.75" customHeight="1" x14ac:dyDescent="0.25">
      <c r="C94" s="20" t="s">
        <v>103</v>
      </c>
      <c r="D94" s="14"/>
      <c r="E94" s="15"/>
      <c r="F94" s="34">
        <v>0</v>
      </c>
    </row>
    <row r="95" spans="3:6" ht="33.75" customHeight="1" x14ac:dyDescent="0.25">
      <c r="C95" s="20" t="s">
        <v>104</v>
      </c>
      <c r="D95" s="14"/>
      <c r="E95" s="15"/>
      <c r="F95" s="34">
        <v>0</v>
      </c>
    </row>
    <row r="96" spans="3:6" ht="33.75" customHeight="1" x14ac:dyDescent="0.25">
      <c r="C96" s="20" t="s">
        <v>105</v>
      </c>
      <c r="D96" s="14"/>
      <c r="E96" s="15"/>
      <c r="F96" s="34">
        <v>0</v>
      </c>
    </row>
    <row r="97" spans="3:6" ht="33.75" customHeight="1" x14ac:dyDescent="0.25">
      <c r="C97" s="20" t="s">
        <v>106</v>
      </c>
      <c r="D97" s="14"/>
      <c r="E97" s="15"/>
      <c r="F97" s="34">
        <v>0</v>
      </c>
    </row>
    <row r="98" spans="3:6" ht="33.75" customHeight="1" x14ac:dyDescent="0.25">
      <c r="C98" s="20" t="s">
        <v>107</v>
      </c>
      <c r="D98" s="14"/>
      <c r="E98" s="15"/>
      <c r="F98" s="34">
        <v>0</v>
      </c>
    </row>
    <row r="99" spans="3:6" ht="33.75" customHeight="1" x14ac:dyDescent="0.25">
      <c r="C99" s="20" t="s">
        <v>108</v>
      </c>
      <c r="D99" s="14"/>
      <c r="E99" s="15"/>
      <c r="F99" s="34">
        <v>0</v>
      </c>
    </row>
    <row r="100" spans="3:6" ht="33.75" customHeight="1" x14ac:dyDescent="0.25">
      <c r="C100" s="20" t="s">
        <v>109</v>
      </c>
      <c r="D100" s="14"/>
      <c r="E100" s="15"/>
      <c r="F100" s="34">
        <v>0</v>
      </c>
    </row>
    <row r="101" spans="3:6" ht="33.75" customHeight="1" x14ac:dyDescent="0.25">
      <c r="C101" s="20" t="s">
        <v>110</v>
      </c>
      <c r="D101" s="14"/>
      <c r="E101" s="15"/>
      <c r="F101" s="34">
        <v>2</v>
      </c>
    </row>
    <row r="102" spans="3:6" ht="33.75" customHeight="1" x14ac:dyDescent="0.25">
      <c r="C102" s="20" t="s">
        <v>111</v>
      </c>
      <c r="D102" s="14"/>
      <c r="E102" s="15"/>
      <c r="F102" s="34">
        <v>2</v>
      </c>
    </row>
    <row r="103" spans="3:6" ht="33.75" customHeight="1" x14ac:dyDescent="0.25">
      <c r="C103" s="20" t="s">
        <v>112</v>
      </c>
      <c r="D103" s="14"/>
      <c r="E103" s="15"/>
      <c r="F103" s="34">
        <v>2</v>
      </c>
    </row>
    <row r="104" spans="3:6" ht="33.75" customHeight="1" x14ac:dyDescent="0.25">
      <c r="C104" s="20" t="s">
        <v>113</v>
      </c>
      <c r="D104" s="14"/>
      <c r="E104" s="15"/>
      <c r="F104" s="34">
        <v>0</v>
      </c>
    </row>
    <row r="105" spans="3:6" ht="33.75" customHeight="1" x14ac:dyDescent="0.25">
      <c r="C105" s="20" t="s">
        <v>114</v>
      </c>
      <c r="D105" s="14"/>
      <c r="E105" s="15"/>
      <c r="F105" s="34">
        <v>2</v>
      </c>
    </row>
    <row r="106" spans="3:6" ht="33.75" customHeight="1" x14ac:dyDescent="0.25">
      <c r="C106" s="20" t="s">
        <v>115</v>
      </c>
      <c r="D106" s="14"/>
      <c r="E106" s="15"/>
      <c r="F106" s="34">
        <v>1</v>
      </c>
    </row>
    <row r="107" spans="3:6" x14ac:dyDescent="0.25">
      <c r="C107" s="25" t="s">
        <v>117</v>
      </c>
      <c r="F107" s="34">
        <v>0</v>
      </c>
    </row>
    <row r="110" spans="3:6" x14ac:dyDescent="0.25">
      <c r="F110" s="5"/>
    </row>
    <row r="111" spans="3:6" x14ac:dyDescent="0.25">
      <c r="F111" s="5"/>
    </row>
    <row r="112" spans="3:6" x14ac:dyDescent="0.25">
      <c r="F112" s="5"/>
    </row>
    <row r="113" spans="6:6" x14ac:dyDescent="0.25">
      <c r="F113" s="5"/>
    </row>
    <row r="114" spans="6:6" x14ac:dyDescent="0.25">
      <c r="F114" s="5"/>
    </row>
    <row r="115" spans="6:6" x14ac:dyDescent="0.25">
      <c r="F115" s="5"/>
    </row>
    <row r="116" spans="6:6" x14ac:dyDescent="0.25">
      <c r="F116" s="5"/>
    </row>
    <row r="117" spans="6:6" x14ac:dyDescent="0.25">
      <c r="F117" s="5"/>
    </row>
    <row r="118" spans="6:6" x14ac:dyDescent="0.25">
      <c r="F118" s="5"/>
    </row>
    <row r="119" spans="6:6" x14ac:dyDescent="0.25">
      <c r="F119" s="5"/>
    </row>
    <row r="120" spans="6:6" x14ac:dyDescent="0.25">
      <c r="F120" s="5"/>
    </row>
    <row r="121" spans="6:6" x14ac:dyDescent="0.25">
      <c r="F121" s="5"/>
    </row>
    <row r="122" spans="6:6" x14ac:dyDescent="0.25">
      <c r="F122" s="5"/>
    </row>
    <row r="123" spans="6:6" x14ac:dyDescent="0.25">
      <c r="F123" s="5"/>
    </row>
    <row r="124" spans="6:6" x14ac:dyDescent="0.25">
      <c r="F124" s="5"/>
    </row>
    <row r="125" spans="6:6" x14ac:dyDescent="0.25">
      <c r="F125" s="5"/>
    </row>
    <row r="126" spans="6:6" x14ac:dyDescent="0.25">
      <c r="F126" s="5"/>
    </row>
    <row r="127" spans="6:6" x14ac:dyDescent="0.25">
      <c r="F127" s="5"/>
    </row>
    <row r="128" spans="6:6" x14ac:dyDescent="0.25">
      <c r="F128" s="5"/>
    </row>
    <row r="129" spans="6:6" x14ac:dyDescent="0.25">
      <c r="F129" s="5"/>
    </row>
    <row r="130" spans="6:6" x14ac:dyDescent="0.25">
      <c r="F130" s="5"/>
    </row>
    <row r="131" spans="6:6" x14ac:dyDescent="0.25">
      <c r="F131" s="5"/>
    </row>
    <row r="132" spans="6:6" x14ac:dyDescent="0.25">
      <c r="F132" s="5"/>
    </row>
    <row r="133" spans="6:6" x14ac:dyDescent="0.25">
      <c r="F133" s="5"/>
    </row>
    <row r="134" spans="6:6" x14ac:dyDescent="0.25">
      <c r="F134" s="5"/>
    </row>
    <row r="135" spans="6:6" x14ac:dyDescent="0.25">
      <c r="F135" s="5"/>
    </row>
    <row r="136" spans="6:6" x14ac:dyDescent="0.25">
      <c r="F136" s="5"/>
    </row>
    <row r="137" spans="6:6" x14ac:dyDescent="0.25">
      <c r="F137" s="5"/>
    </row>
    <row r="138" spans="6:6" x14ac:dyDescent="0.25">
      <c r="F138" s="5"/>
    </row>
    <row r="139" spans="6:6" x14ac:dyDescent="0.25">
      <c r="F139" s="5"/>
    </row>
    <row r="140" spans="6:6" x14ac:dyDescent="0.25">
      <c r="F140" s="5"/>
    </row>
    <row r="141" spans="6:6" x14ac:dyDescent="0.25">
      <c r="F141" s="5"/>
    </row>
    <row r="142" spans="6:6" x14ac:dyDescent="0.25">
      <c r="F142" s="5"/>
    </row>
    <row r="143" spans="6:6" x14ac:dyDescent="0.25">
      <c r="F143" s="5"/>
    </row>
    <row r="144" spans="6:6" x14ac:dyDescent="0.25">
      <c r="F144" s="5"/>
    </row>
    <row r="145" spans="6:6" x14ac:dyDescent="0.25">
      <c r="F145" s="5"/>
    </row>
    <row r="146" spans="6:6" x14ac:dyDescent="0.25">
      <c r="F146" s="5"/>
    </row>
    <row r="147" spans="6:6" x14ac:dyDescent="0.25">
      <c r="F147" s="5"/>
    </row>
    <row r="148" spans="6:6" x14ac:dyDescent="0.25">
      <c r="F148" s="5"/>
    </row>
    <row r="149" spans="6:6" x14ac:dyDescent="0.25">
      <c r="F149" s="5"/>
    </row>
    <row r="150" spans="6:6" x14ac:dyDescent="0.25">
      <c r="F150" s="5"/>
    </row>
    <row r="151" spans="6:6" x14ac:dyDescent="0.25">
      <c r="F151" s="5"/>
    </row>
    <row r="152" spans="6:6" x14ac:dyDescent="0.25">
      <c r="F152" s="5"/>
    </row>
    <row r="153" spans="6:6" x14ac:dyDescent="0.25">
      <c r="F153" s="5"/>
    </row>
    <row r="154" spans="6:6" x14ac:dyDescent="0.25">
      <c r="F154" s="5"/>
    </row>
    <row r="155" spans="6:6" x14ac:dyDescent="0.25">
      <c r="F155" s="5"/>
    </row>
    <row r="156" spans="6:6" x14ac:dyDescent="0.25">
      <c r="F156" s="5"/>
    </row>
    <row r="157" spans="6:6" x14ac:dyDescent="0.25">
      <c r="F157" s="5"/>
    </row>
    <row r="158" spans="6:6" x14ac:dyDescent="0.25">
      <c r="F158" s="5"/>
    </row>
    <row r="159" spans="6:6" x14ac:dyDescent="0.25">
      <c r="F159" s="5"/>
    </row>
    <row r="160" spans="6:6" x14ac:dyDescent="0.25">
      <c r="F160" s="5"/>
    </row>
    <row r="161" spans="6:6" x14ac:dyDescent="0.25">
      <c r="F161" s="5"/>
    </row>
    <row r="162" spans="6:6" x14ac:dyDescent="0.25">
      <c r="F162" s="5"/>
    </row>
    <row r="163" spans="6:6" x14ac:dyDescent="0.25">
      <c r="F163" s="5"/>
    </row>
    <row r="164" spans="6:6" x14ac:dyDescent="0.25">
      <c r="F164" s="5"/>
    </row>
    <row r="165" spans="6:6" x14ac:dyDescent="0.25">
      <c r="F165" s="5"/>
    </row>
    <row r="166" spans="6:6" x14ac:dyDescent="0.25">
      <c r="F166" s="5"/>
    </row>
    <row r="167" spans="6:6" x14ac:dyDescent="0.25">
      <c r="F167" s="5"/>
    </row>
    <row r="168" spans="6:6" x14ac:dyDescent="0.25">
      <c r="F168" s="5"/>
    </row>
    <row r="169" spans="6:6" x14ac:dyDescent="0.25">
      <c r="F169" s="5"/>
    </row>
    <row r="170" spans="6:6" x14ac:dyDescent="0.25">
      <c r="F170" s="5"/>
    </row>
    <row r="171" spans="6:6" x14ac:dyDescent="0.25">
      <c r="F171" s="5"/>
    </row>
    <row r="172" spans="6:6" x14ac:dyDescent="0.25">
      <c r="F172" s="5"/>
    </row>
    <row r="173" spans="6:6" x14ac:dyDescent="0.25">
      <c r="F173" s="5"/>
    </row>
    <row r="174" spans="6:6" x14ac:dyDescent="0.25">
      <c r="F174" s="5"/>
    </row>
    <row r="175" spans="6:6" x14ac:dyDescent="0.25">
      <c r="F175" s="5"/>
    </row>
    <row r="176" spans="6:6" x14ac:dyDescent="0.25">
      <c r="F176" s="5"/>
    </row>
    <row r="177" spans="6:6" x14ac:dyDescent="0.25">
      <c r="F177" s="5"/>
    </row>
    <row r="178" spans="6:6" x14ac:dyDescent="0.25">
      <c r="F178" s="5"/>
    </row>
    <row r="179" spans="6:6" x14ac:dyDescent="0.25">
      <c r="F179" s="5"/>
    </row>
    <row r="180" spans="6:6" x14ac:dyDescent="0.25">
      <c r="F180" s="5"/>
    </row>
    <row r="181" spans="6:6" x14ac:dyDescent="0.25">
      <c r="F181" s="5"/>
    </row>
    <row r="182" spans="6:6" x14ac:dyDescent="0.25">
      <c r="F182" s="5"/>
    </row>
    <row r="183" spans="6:6" x14ac:dyDescent="0.25">
      <c r="F183" s="5"/>
    </row>
    <row r="184" spans="6:6" x14ac:dyDescent="0.25">
      <c r="F184" s="5"/>
    </row>
    <row r="185" spans="6:6" x14ac:dyDescent="0.25">
      <c r="F185" s="5"/>
    </row>
    <row r="186" spans="6:6" x14ac:dyDescent="0.25">
      <c r="F186" s="5"/>
    </row>
    <row r="187" spans="6:6" x14ac:dyDescent="0.25">
      <c r="F187" s="5"/>
    </row>
    <row r="188" spans="6:6" x14ac:dyDescent="0.25">
      <c r="F188" s="5"/>
    </row>
    <row r="189" spans="6:6" x14ac:dyDescent="0.25">
      <c r="F189" s="5"/>
    </row>
    <row r="190" spans="6:6" x14ac:dyDescent="0.25">
      <c r="F190" s="5"/>
    </row>
    <row r="191" spans="6:6" x14ac:dyDescent="0.25">
      <c r="F191" s="5"/>
    </row>
    <row r="192" spans="6:6" x14ac:dyDescent="0.25">
      <c r="F192" s="5"/>
    </row>
    <row r="193" spans="6:6" x14ac:dyDescent="0.25">
      <c r="F193" s="5"/>
    </row>
    <row r="194" spans="6:6" x14ac:dyDescent="0.25">
      <c r="F194" s="5"/>
    </row>
    <row r="195" spans="6:6" x14ac:dyDescent="0.25">
      <c r="F195" s="5"/>
    </row>
    <row r="196" spans="6:6" x14ac:dyDescent="0.25">
      <c r="F196" s="5"/>
    </row>
    <row r="197" spans="6:6" x14ac:dyDescent="0.25">
      <c r="F197" s="5"/>
    </row>
    <row r="198" spans="6:6" x14ac:dyDescent="0.25">
      <c r="F198" s="5"/>
    </row>
    <row r="199" spans="6:6" x14ac:dyDescent="0.25">
      <c r="F199" s="5"/>
    </row>
    <row r="200" spans="6:6" x14ac:dyDescent="0.25">
      <c r="F200" s="5"/>
    </row>
    <row r="201" spans="6:6" x14ac:dyDescent="0.25">
      <c r="F201" s="5"/>
    </row>
    <row r="202" spans="6:6" x14ac:dyDescent="0.25">
      <c r="F202" s="5"/>
    </row>
    <row r="203" spans="6:6" x14ac:dyDescent="0.25">
      <c r="F203" s="5"/>
    </row>
    <row r="204" spans="6:6" x14ac:dyDescent="0.25">
      <c r="F204" s="5"/>
    </row>
    <row r="205" spans="6:6" x14ac:dyDescent="0.25">
      <c r="F205" s="5"/>
    </row>
    <row r="206" spans="6:6" x14ac:dyDescent="0.25">
      <c r="F206" s="5"/>
    </row>
    <row r="207" spans="6:6" x14ac:dyDescent="0.25">
      <c r="F207" s="5"/>
    </row>
    <row r="208" spans="6:6" x14ac:dyDescent="0.25">
      <c r="F208" s="5"/>
    </row>
    <row r="209" spans="6:6" x14ac:dyDescent="0.25">
      <c r="F209" s="5"/>
    </row>
    <row r="210" spans="6:6" x14ac:dyDescent="0.25">
      <c r="F210" s="5"/>
    </row>
    <row r="211" spans="6:6" x14ac:dyDescent="0.25">
      <c r="F211" s="5"/>
    </row>
    <row r="212" spans="6:6" x14ac:dyDescent="0.25">
      <c r="F212" s="5"/>
    </row>
    <row r="213" spans="6:6" x14ac:dyDescent="0.25">
      <c r="F213" s="5"/>
    </row>
    <row r="214" spans="6:6" x14ac:dyDescent="0.25">
      <c r="F214" s="5"/>
    </row>
    <row r="215" spans="6:6" x14ac:dyDescent="0.25">
      <c r="F215" s="5"/>
    </row>
    <row r="216" spans="6:6" x14ac:dyDescent="0.25">
      <c r="F216" s="5"/>
    </row>
    <row r="217" spans="6:6" x14ac:dyDescent="0.25">
      <c r="F217" s="5"/>
    </row>
    <row r="218" spans="6:6" x14ac:dyDescent="0.25">
      <c r="F218" s="5"/>
    </row>
    <row r="219" spans="6:6" x14ac:dyDescent="0.25">
      <c r="F219" s="5"/>
    </row>
    <row r="220" spans="6:6" x14ac:dyDescent="0.25">
      <c r="F220" s="5"/>
    </row>
    <row r="221" spans="6:6" x14ac:dyDescent="0.25">
      <c r="F221" s="5"/>
    </row>
    <row r="222" spans="6:6" x14ac:dyDescent="0.25">
      <c r="F222" s="5"/>
    </row>
    <row r="223" spans="6:6" x14ac:dyDescent="0.25">
      <c r="F223" s="5"/>
    </row>
    <row r="224" spans="6:6" x14ac:dyDescent="0.25">
      <c r="F224" s="5"/>
    </row>
    <row r="225" spans="6:6" x14ac:dyDescent="0.25">
      <c r="F225" s="5"/>
    </row>
    <row r="226" spans="6:6" x14ac:dyDescent="0.25">
      <c r="F226" s="5"/>
    </row>
    <row r="227" spans="6:6" x14ac:dyDescent="0.25">
      <c r="F227" s="5"/>
    </row>
    <row r="228" spans="6:6" x14ac:dyDescent="0.25">
      <c r="F228" s="5"/>
    </row>
    <row r="229" spans="6:6" x14ac:dyDescent="0.25">
      <c r="F229" s="5"/>
    </row>
    <row r="230" spans="6:6" x14ac:dyDescent="0.25">
      <c r="F230" s="5"/>
    </row>
    <row r="231" spans="6:6" x14ac:dyDescent="0.25">
      <c r="F231" s="5"/>
    </row>
    <row r="232" spans="6:6" x14ac:dyDescent="0.25">
      <c r="F232" s="5"/>
    </row>
    <row r="233" spans="6:6" x14ac:dyDescent="0.25">
      <c r="F233" s="5"/>
    </row>
    <row r="234" spans="6:6" x14ac:dyDescent="0.25">
      <c r="F234" s="5"/>
    </row>
    <row r="235" spans="6:6" x14ac:dyDescent="0.25">
      <c r="F235" s="5"/>
    </row>
    <row r="236" spans="6:6" x14ac:dyDescent="0.25">
      <c r="F236" s="5"/>
    </row>
    <row r="237" spans="6:6" x14ac:dyDescent="0.25">
      <c r="F237" s="5"/>
    </row>
    <row r="238" spans="6:6" x14ac:dyDescent="0.25">
      <c r="F238" s="5"/>
    </row>
    <row r="239" spans="6:6" x14ac:dyDescent="0.25">
      <c r="F239" s="5"/>
    </row>
    <row r="240" spans="6:6" x14ac:dyDescent="0.25">
      <c r="F240" s="5"/>
    </row>
    <row r="241" spans="6:6" x14ac:dyDescent="0.25">
      <c r="F241" s="5"/>
    </row>
    <row r="242" spans="6:6" x14ac:dyDescent="0.25">
      <c r="F242" s="5"/>
    </row>
    <row r="243" spans="6:6" x14ac:dyDescent="0.25">
      <c r="F243" s="5"/>
    </row>
    <row r="244" spans="6:6" x14ac:dyDescent="0.25">
      <c r="F244" s="5"/>
    </row>
    <row r="245" spans="6:6" x14ac:dyDescent="0.25">
      <c r="F245" s="5"/>
    </row>
    <row r="246" spans="6:6" x14ac:dyDescent="0.25">
      <c r="F246" s="5"/>
    </row>
    <row r="247" spans="6:6" x14ac:dyDescent="0.25">
      <c r="F247" s="5"/>
    </row>
    <row r="248" spans="6:6" x14ac:dyDescent="0.25">
      <c r="F248" s="5"/>
    </row>
    <row r="249" spans="6:6" x14ac:dyDescent="0.25">
      <c r="F249" s="5"/>
    </row>
    <row r="250" spans="6:6" x14ac:dyDescent="0.25">
      <c r="F250" s="5"/>
    </row>
    <row r="251" spans="6:6" x14ac:dyDescent="0.25">
      <c r="F251" s="5"/>
    </row>
    <row r="252" spans="6:6" x14ac:dyDescent="0.25">
      <c r="F252" s="5"/>
    </row>
    <row r="253" spans="6:6" x14ac:dyDescent="0.25">
      <c r="F253" s="5"/>
    </row>
    <row r="254" spans="6:6" x14ac:dyDescent="0.25">
      <c r="F254" s="5"/>
    </row>
    <row r="255" spans="6:6" x14ac:dyDescent="0.25">
      <c r="F255" s="5"/>
    </row>
    <row r="256" spans="6:6" x14ac:dyDescent="0.25">
      <c r="F256" s="5"/>
    </row>
    <row r="257" spans="6:6" x14ac:dyDescent="0.25">
      <c r="F257" s="5"/>
    </row>
    <row r="258" spans="6:6" x14ac:dyDescent="0.25">
      <c r="F258" s="5"/>
    </row>
    <row r="259" spans="6:6" x14ac:dyDescent="0.25">
      <c r="F259" s="5"/>
    </row>
    <row r="260" spans="6:6" x14ac:dyDescent="0.25">
      <c r="F260" s="5"/>
    </row>
    <row r="261" spans="6:6" x14ac:dyDescent="0.25">
      <c r="F261" s="5"/>
    </row>
    <row r="262" spans="6:6" x14ac:dyDescent="0.25">
      <c r="F262" s="5"/>
    </row>
    <row r="263" spans="6:6" x14ac:dyDescent="0.25">
      <c r="F263" s="5"/>
    </row>
    <row r="264" spans="6:6" x14ac:dyDescent="0.25">
      <c r="F264" s="5"/>
    </row>
    <row r="265" spans="6:6" x14ac:dyDescent="0.25">
      <c r="F265" s="5"/>
    </row>
    <row r="266" spans="6:6" x14ac:dyDescent="0.25">
      <c r="F266" s="5"/>
    </row>
    <row r="267" spans="6:6" x14ac:dyDescent="0.25">
      <c r="F267" s="5"/>
    </row>
    <row r="268" spans="6:6" x14ac:dyDescent="0.25">
      <c r="F268" s="5"/>
    </row>
    <row r="269" spans="6:6" x14ac:dyDescent="0.25">
      <c r="F269" s="5"/>
    </row>
    <row r="270" spans="6:6" x14ac:dyDescent="0.25">
      <c r="F270" s="5"/>
    </row>
    <row r="271" spans="6:6" x14ac:dyDescent="0.25">
      <c r="F271" s="5"/>
    </row>
    <row r="272" spans="6:6" x14ac:dyDescent="0.25">
      <c r="F272" s="5"/>
    </row>
    <row r="273" spans="6:6" x14ac:dyDescent="0.25">
      <c r="F273" s="5"/>
    </row>
    <row r="274" spans="6:6" x14ac:dyDescent="0.25">
      <c r="F274" s="5"/>
    </row>
    <row r="275" spans="6:6" x14ac:dyDescent="0.25">
      <c r="F275" s="5"/>
    </row>
    <row r="276" spans="6:6" x14ac:dyDescent="0.25">
      <c r="F276" s="5"/>
    </row>
  </sheetData>
  <mergeCells count="7">
    <mergeCell ref="B1:C1"/>
    <mergeCell ref="D7:F7"/>
    <mergeCell ref="D6:F6"/>
    <mergeCell ref="C2:F2"/>
    <mergeCell ref="D4:F4"/>
    <mergeCell ref="D5:F5"/>
    <mergeCell ref="C3:F3"/>
  </mergeCells>
  <pageMargins left="0.25" right="0.25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dropdown!$A$2:$A$3</xm:f>
          </x14:formula1>
          <xm:sqref>D5:F5</xm:sqref>
        </x14:dataValidation>
        <x14:dataValidation type="list" showInputMessage="1" showErrorMessage="1">
          <x14:formula1>
            <xm:f>dropdown!$B$2:$B$4</xm:f>
          </x14:formula1>
          <xm:sqref>F9:F107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4"/>
  <sheetViews>
    <sheetView workbookViewId="0">
      <selection activeCell="I13" sqref="I13"/>
    </sheetView>
  </sheetViews>
  <sheetFormatPr defaultRowHeight="15" x14ac:dyDescent="0.25"/>
  <sheetData>
    <row r="1" spans="1:2" x14ac:dyDescent="0.25">
      <c r="A1" t="s">
        <v>144</v>
      </c>
      <c r="B1" t="s">
        <v>15</v>
      </c>
    </row>
    <row r="2" spans="1:2" x14ac:dyDescent="0.25">
      <c r="A2" t="s">
        <v>143</v>
      </c>
      <c r="B2">
        <v>0</v>
      </c>
    </row>
    <row r="3" spans="1:2" x14ac:dyDescent="0.25">
      <c r="A3" t="s">
        <v>142</v>
      </c>
      <c r="B3">
        <v>1</v>
      </c>
    </row>
    <row r="4" spans="1:2" x14ac:dyDescent="0.25">
      <c r="B4">
        <v>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DTPicker1">
          <controlPr defaultSize="0" autoLine="0" autoPict="0" r:id="rId5">
            <anchor moveWithCells="1">
              <from>
                <xdr:col>2</xdr:col>
                <xdr:colOff>295275</xdr:colOff>
                <xdr:row>1</xdr:row>
                <xdr:rowOff>104775</xdr:rowOff>
              </from>
              <to>
                <xdr:col>6</xdr:col>
                <xdr:colOff>276225</xdr:colOff>
                <xdr:row>14</xdr:row>
                <xdr:rowOff>171450</xdr:rowOff>
              </to>
            </anchor>
          </controlPr>
        </control>
      </mc:Choice>
      <mc:Fallback>
        <control shapeId="6146" r:id="rId4" name="DTPicker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L21"/>
  <sheetViews>
    <sheetView zoomScale="115" zoomScaleNormal="115" workbookViewId="0">
      <selection activeCell="J14" sqref="J14"/>
    </sheetView>
  </sheetViews>
  <sheetFormatPr defaultRowHeight="15" x14ac:dyDescent="0.25"/>
  <cols>
    <col min="1" max="1" width="13.28515625" customWidth="1"/>
    <col min="3" max="3" width="11.42578125" customWidth="1"/>
  </cols>
  <sheetData>
    <row r="1" spans="2:12" ht="113.25" customHeight="1" x14ac:dyDescent="0.25">
      <c r="C1" s="1"/>
      <c r="D1" s="1"/>
      <c r="E1" s="1"/>
      <c r="F1" s="1"/>
      <c r="G1" s="1"/>
      <c r="H1" s="1"/>
      <c r="I1" s="1"/>
      <c r="J1" s="1"/>
      <c r="K1" s="1"/>
    </row>
    <row r="2" spans="2:12" x14ac:dyDescent="0.25">
      <c r="B2" s="43" t="s">
        <v>16</v>
      </c>
      <c r="C2" s="44"/>
      <c r="D2" s="44"/>
      <c r="E2" s="44"/>
      <c r="F2" s="44"/>
      <c r="G2" s="44"/>
      <c r="H2" s="44"/>
      <c r="I2" s="44"/>
      <c r="J2" s="44"/>
      <c r="K2" s="45"/>
    </row>
    <row r="3" spans="2:12" ht="21" customHeight="1" x14ac:dyDescent="0.25">
      <c r="B3" s="46"/>
      <c r="C3" s="47"/>
      <c r="D3" s="47"/>
      <c r="E3" s="47"/>
      <c r="F3" s="47"/>
      <c r="G3" s="47"/>
      <c r="H3" s="47"/>
      <c r="I3" s="47"/>
      <c r="J3" s="47"/>
      <c r="K3" s="48"/>
    </row>
    <row r="4" spans="2:12" ht="23.25" customHeight="1" x14ac:dyDescent="0.25">
      <c r="B4" s="9"/>
      <c r="C4" s="10"/>
      <c r="D4" s="10"/>
      <c r="E4" s="10"/>
      <c r="F4" s="10"/>
      <c r="G4" s="10"/>
      <c r="H4" s="10"/>
      <c r="I4" s="10"/>
      <c r="J4" s="10"/>
      <c r="K4" s="11"/>
    </row>
    <row r="5" spans="2:12" x14ac:dyDescent="0.25">
      <c r="B5" s="55" t="s">
        <v>4</v>
      </c>
      <c r="C5" s="55"/>
      <c r="D5" s="59">
        <f>(Sheet1!D4)</f>
        <v>0</v>
      </c>
      <c r="E5" s="59"/>
      <c r="F5" s="59"/>
      <c r="G5" s="59"/>
      <c r="H5" s="55" t="s">
        <v>0</v>
      </c>
      <c r="I5" s="38" t="str">
        <f>(Sheet1!D5)</f>
        <v>Nữ</v>
      </c>
      <c r="J5" s="38"/>
      <c r="K5" s="38"/>
    </row>
    <row r="6" spans="2:12" x14ac:dyDescent="0.25">
      <c r="B6" s="55"/>
      <c r="C6" s="55"/>
      <c r="D6" s="59"/>
      <c r="E6" s="59"/>
      <c r="F6" s="59"/>
      <c r="G6" s="59"/>
      <c r="H6" s="55"/>
      <c r="I6" s="38"/>
      <c r="J6" s="38"/>
      <c r="K6" s="38"/>
    </row>
    <row r="7" spans="2:12" x14ac:dyDescent="0.25">
      <c r="B7" s="55" t="s">
        <v>5</v>
      </c>
      <c r="C7" s="55"/>
      <c r="D7" s="60">
        <f ca="1">(Sheet1!D7)</f>
        <v>23</v>
      </c>
      <c r="E7" s="60"/>
      <c r="F7" s="60"/>
      <c r="G7" s="60"/>
      <c r="H7" s="55" t="s">
        <v>1</v>
      </c>
      <c r="I7" s="39">
        <f>(Sheet1!D6)</f>
        <v>35619</v>
      </c>
      <c r="J7" s="39"/>
      <c r="K7" s="39"/>
    </row>
    <row r="8" spans="2:12" x14ac:dyDescent="0.25">
      <c r="B8" s="55"/>
      <c r="C8" s="55"/>
      <c r="D8" s="60"/>
      <c r="E8" s="60"/>
      <c r="F8" s="60"/>
      <c r="G8" s="60"/>
      <c r="H8" s="55"/>
      <c r="I8" s="39"/>
      <c r="J8" s="39"/>
      <c r="K8" s="61"/>
    </row>
    <row r="9" spans="2:12" x14ac:dyDescent="0.25">
      <c r="B9" s="12"/>
      <c r="C9" s="13"/>
      <c r="D9" s="13"/>
      <c r="E9" s="13"/>
      <c r="F9" s="13"/>
      <c r="G9" s="13"/>
      <c r="H9" s="13"/>
      <c r="I9" s="13"/>
      <c r="J9" s="13"/>
      <c r="K9" s="32"/>
    </row>
    <row r="10" spans="2:12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</row>
    <row r="11" spans="2:12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</row>
    <row r="12" spans="2:12" ht="14.25" customHeight="1" x14ac:dyDescent="0.25">
      <c r="B12" s="49" t="s">
        <v>6</v>
      </c>
      <c r="C12" s="65" t="s">
        <v>7</v>
      </c>
      <c r="D12" s="65"/>
      <c r="E12" s="65"/>
      <c r="F12" s="65"/>
      <c r="G12" s="33"/>
      <c r="H12" s="65" t="s">
        <v>121</v>
      </c>
      <c r="I12" s="65"/>
      <c r="J12" s="26"/>
      <c r="K12" s="26"/>
    </row>
    <row r="13" spans="2:12" ht="45" x14ac:dyDescent="0.25">
      <c r="B13" s="49"/>
      <c r="C13" s="2" t="s">
        <v>8</v>
      </c>
      <c r="D13" s="2" t="s">
        <v>9</v>
      </c>
      <c r="E13" s="2" t="s">
        <v>10</v>
      </c>
      <c r="F13" s="2" t="s">
        <v>118</v>
      </c>
      <c r="G13" s="2" t="s">
        <v>119</v>
      </c>
      <c r="H13" s="2" t="s">
        <v>11</v>
      </c>
      <c r="I13" s="2" t="s">
        <v>120</v>
      </c>
      <c r="J13" s="27"/>
      <c r="K13" s="27"/>
    </row>
    <row r="14" spans="2:12" x14ac:dyDescent="0.25">
      <c r="B14" s="55" t="s">
        <v>12</v>
      </c>
      <c r="C14" s="3">
        <f>SUM(Sheet1!F29,Sheet1!F54,Sheet1!F59,Sheet1!F87,Sheet1!F90,Sheet1!F91,Sheet1!F104,Sheet1!F106,Sheet1!F100)</f>
        <v>3</v>
      </c>
      <c r="D14" s="4">
        <f>SUM(Sheet1!F18,Sheet1!F41,Sheet1!F45,Sheet1!F51,Sheet1!F55,Sheet1!F76,Sheet1!F95,Sheet1!F98)</f>
        <v>1</v>
      </c>
      <c r="E14" s="4">
        <f>SUM(Sheet1!F9,Sheet1!F15,Sheet1!F20,Sheet1!F27,Sheet1!F32,Sheet1!F47,Sheet1!F53,Sheet1!F60,Sheet1!F86,Sheet1!F94,Sheet1!F101)</f>
        <v>4</v>
      </c>
      <c r="F14" s="4">
        <f>SUM(Sheet1!F10,Sheet1!F12,Sheet1!F31,Sheet1!F70,Sheet1!F75,Sheet1!F78,Sheet1!F79,Sheet1!F105)</f>
        <v>8</v>
      </c>
      <c r="G14" s="4">
        <f>SUM(Sheet1!F30,Sheet1!F46,Sheet1!F56,Sheet1!F72,Sheet1!F82,Sheet1!F92,Sheet1!F102)</f>
        <v>2</v>
      </c>
      <c r="H14" s="4">
        <f>SUM(Sheet1!F13,Sheet1!F14,Sheet1!F64,Sheet1!F67,Sheet1!F103)</f>
        <v>4</v>
      </c>
      <c r="I14" s="30">
        <f>SUM(Sheet1!F16,Sheet1!F23,Sheet1!F24,Sheet1!F26,Sheet1!F28,Sheet1!F35,Sheet1!F37,Sheet1!F43,Sheet1!F48,Sheet1!F50,Sheet1!F52,Sheet1!F61,Sheet1!F66,Sheet1!F74,Sheet1!F77,Sheet1!F89,Sheet1!F93,Sheet1!F96,Sheet1!F107)</f>
        <v>2</v>
      </c>
      <c r="J14" s="28"/>
      <c r="K14" s="31"/>
      <c r="L14" s="57"/>
    </row>
    <row r="15" spans="2:12" x14ac:dyDescent="0.25">
      <c r="B15" s="55"/>
      <c r="C15" s="62">
        <f>SUM(C14:F14)</f>
        <v>16</v>
      </c>
      <c r="D15" s="63"/>
      <c r="E15" s="63"/>
      <c r="F15" s="64"/>
      <c r="G15" s="29"/>
      <c r="H15" s="62">
        <f>SUM(H14,I14)</f>
        <v>6</v>
      </c>
      <c r="I15" s="64"/>
      <c r="J15" s="26"/>
      <c r="K15" s="26"/>
      <c r="L15" s="58"/>
    </row>
    <row r="16" spans="2:12" x14ac:dyDescent="0.25">
      <c r="B16" s="55"/>
      <c r="C16" s="56">
        <f>SUM(C14:K14)</f>
        <v>24</v>
      </c>
      <c r="D16" s="56"/>
      <c r="E16" s="56"/>
      <c r="F16" s="56"/>
      <c r="G16" s="56"/>
      <c r="H16" s="56"/>
      <c r="I16" s="56"/>
      <c r="J16" s="26"/>
      <c r="K16" s="26"/>
    </row>
    <row r="17" spans="2:11" ht="14.25" customHeight="1" x14ac:dyDescent="0.25">
      <c r="B17" s="52" t="s">
        <v>13</v>
      </c>
      <c r="C17" s="49" t="str">
        <f>IF(I5="Nam",IF(C14&lt;6,"Không biểu hiện",IF(C14&lt;9,"nghi ngờ","Biểu hiện rõ rệt")),IF(C14&lt;6,"Không biểu hiện",IF(C14&lt;9,"Nghi Ngờ","Biểu hiện rõ rệt")))</f>
        <v>Không biểu hiện</v>
      </c>
      <c r="D17" s="49" t="str">
        <f>IF(I5="Nam",IF(D14&lt;7,"Không biểu hiện",IF(D14&lt;9,"Nghi ngờ","Biểu hiện rõ rệt")),IF(D14&lt;7,"Không biểu hiện",IF(D14&lt;9,"Nghi ngờ","Biểu hiện rõ rệt")))</f>
        <v>Không biểu hiện</v>
      </c>
      <c r="E17" s="49" t="str">
        <f>IF(I5="Nam",IF(E14&lt;5,"Không biểu hiện",IF(E14&lt;7,"Nghi ngờ","Biểu hiện rõ rệt")),IF(E14&lt;5,"Không biểu hiện",IF(E14&lt;7,"Nghi ngờ","Biểu hiện rõ rệt")))</f>
        <v>Không biểu hiện</v>
      </c>
      <c r="F17" s="49" t="str">
        <f>IF(I5="Nam",IF(F14&lt;5,"Không biểu hiện",IF(F14&lt;6,"Nghi ngờ","Biều hiện rõ rệt")),IF(F14&lt;5,"Không biểu hiện",IF(F14&lt;6,"Nghi ngờ","Biểu hiện rõ rệt")))</f>
        <v>Biểu hiện rõ rệt</v>
      </c>
      <c r="G17" s="49" t="str">
        <f>IF(I5="Nam",IF(G14&lt;7,"Không biểu hiện",IF(G14&lt;9,"Nghi ngờ"," Biểu hiện rõ rệt")),IF(G14&lt;7,"Không biểu hiện",IF(G14&lt;9,"Nghi ngờ","Biểu hiện rõ rệt")))</f>
        <v>Không biểu hiện</v>
      </c>
      <c r="H17" s="49" t="str">
        <f>IF(I5="Nam",IF(H14&lt;5,"Không biểu hiện",IF(H14&lt;7,"Nghi ngờ","Biểu hiện rõ rệt")),IF(H14&lt;5,"Không biểu hiện",IF(H14&lt;7,"Nghi ngờ","Biểu hiện rõ rệt")))</f>
        <v>Không biểu hiện</v>
      </c>
      <c r="I17" s="49" t="str">
        <f>IF(I5="Nam",IF(I14&lt;20,"Không biểu hiện",IF(I14&lt;25,"Nghi ngờ","Biểu hiện rõ rệt")),IF(I14&lt;20,"Không biểu hiện",IF(I14&lt;25,"Nghi ngờ","Biểu hiện rõ rệt")))</f>
        <v>Không biểu hiện</v>
      </c>
      <c r="J17" s="50"/>
      <c r="K17" s="51"/>
    </row>
    <row r="18" spans="2:11" x14ac:dyDescent="0.25">
      <c r="B18" s="53"/>
      <c r="C18" s="49"/>
      <c r="D18" s="49"/>
      <c r="E18" s="49"/>
      <c r="F18" s="49"/>
      <c r="G18" s="49"/>
      <c r="H18" s="49"/>
      <c r="I18" s="49"/>
      <c r="J18" s="50"/>
      <c r="K18" s="51"/>
    </row>
    <row r="19" spans="2:11" x14ac:dyDescent="0.25">
      <c r="B19" s="53"/>
      <c r="C19" s="49"/>
      <c r="D19" s="49"/>
      <c r="E19" s="49"/>
      <c r="F19" s="49"/>
      <c r="G19" s="49"/>
      <c r="H19" s="49"/>
      <c r="I19" s="49"/>
      <c r="J19" s="50"/>
      <c r="K19" s="51"/>
    </row>
    <row r="20" spans="2:11" x14ac:dyDescent="0.25">
      <c r="B20" s="54"/>
      <c r="C20" s="49"/>
      <c r="D20" s="49"/>
      <c r="E20" s="49"/>
      <c r="F20" s="49"/>
      <c r="G20" s="49"/>
      <c r="H20" s="49"/>
      <c r="I20" s="49"/>
      <c r="J20" s="50"/>
      <c r="K20" s="51"/>
    </row>
    <row r="21" spans="2:11" x14ac:dyDescent="0.25">
      <c r="D21" s="1"/>
      <c r="E21" s="1"/>
    </row>
  </sheetData>
  <sheetProtection formatCells="0" formatColumns="0" formatRows="0" insertColumns="0" insertRows="0" insertHyperlinks="0" deleteColumns="0" deleteRows="0" sort="0" autoFilter="0" pivotTables="0"/>
  <mergeCells count="27">
    <mergeCell ref="L14:L15"/>
    <mergeCell ref="B5:C6"/>
    <mergeCell ref="D5:G6"/>
    <mergeCell ref="H5:H6"/>
    <mergeCell ref="I5:K6"/>
    <mergeCell ref="B7:C8"/>
    <mergeCell ref="D7:G8"/>
    <mergeCell ref="I7:K8"/>
    <mergeCell ref="H7:H8"/>
    <mergeCell ref="C15:F15"/>
    <mergeCell ref="C12:F12"/>
    <mergeCell ref="H12:I12"/>
    <mergeCell ref="H15:I15"/>
    <mergeCell ref="B2:K3"/>
    <mergeCell ref="H17:H20"/>
    <mergeCell ref="I17:I20"/>
    <mergeCell ref="J17:J20"/>
    <mergeCell ref="K17:K20"/>
    <mergeCell ref="B17:B20"/>
    <mergeCell ref="C17:C20"/>
    <mergeCell ref="D17:D20"/>
    <mergeCell ref="E17:E20"/>
    <mergeCell ref="F17:F20"/>
    <mergeCell ref="G17:G20"/>
    <mergeCell ref="B12:B13"/>
    <mergeCell ref="B14:B16"/>
    <mergeCell ref="C16:I16"/>
  </mergeCells>
  <pageMargins left="0.7" right="0.7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uuTruTrang3">
                <anchor moveWithCells="1" sizeWithCells="1">
                  <from>
                    <xdr:col>1</xdr:col>
                    <xdr:colOff>57150</xdr:colOff>
                    <xdr:row>21</xdr:row>
                    <xdr:rowOff>142875</xdr:rowOff>
                  </from>
                  <to>
                    <xdr:col>2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43"/>
  <sheetViews>
    <sheetView topLeftCell="A16" workbookViewId="0">
      <selection activeCell="A24" sqref="A24:XFD24"/>
    </sheetView>
  </sheetViews>
  <sheetFormatPr defaultRowHeight="15" x14ac:dyDescent="0.25"/>
  <cols>
    <col min="1" max="9" width="11" customWidth="1"/>
    <col min="10" max="19" width="12" customWidth="1"/>
  </cols>
  <sheetData>
    <row r="1" spans="1:19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</row>
    <row r="2" spans="1:19" x14ac:dyDescent="0.25">
      <c r="A2" s="35" t="s">
        <v>141</v>
      </c>
      <c r="B2" s="35">
        <v>2</v>
      </c>
      <c r="C2" s="36">
        <v>213</v>
      </c>
      <c r="D2" s="35">
        <v>3</v>
      </c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</row>
    <row r="3" spans="1:19" x14ac:dyDescent="0.25">
      <c r="A3" s="35" t="s">
        <v>141</v>
      </c>
      <c r="B3" s="35">
        <v>2</v>
      </c>
      <c r="C3" s="36">
        <v>213</v>
      </c>
      <c r="D3" s="35">
        <v>3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</row>
    <row r="4" spans="1:19" x14ac:dyDescent="0.25">
      <c r="A4" s="35" t="s">
        <v>141</v>
      </c>
      <c r="B4" s="35">
        <v>2</v>
      </c>
      <c r="C4" s="36">
        <v>213</v>
      </c>
      <c r="D4" s="35">
        <v>3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</row>
    <row r="5" spans="1:19" x14ac:dyDescent="0.25">
      <c r="A5" s="35" t="s">
        <v>141</v>
      </c>
      <c r="B5" s="35">
        <v>2</v>
      </c>
      <c r="C5" s="36">
        <v>213</v>
      </c>
      <c r="D5" s="35">
        <v>3</v>
      </c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</row>
    <row r="6" spans="1:19" x14ac:dyDescent="0.25">
      <c r="A6" s="35" t="s">
        <v>141</v>
      </c>
      <c r="B6" s="35">
        <v>2</v>
      </c>
      <c r="C6" s="36">
        <v>213</v>
      </c>
      <c r="D6" s="35">
        <v>3</v>
      </c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</row>
    <row r="7" spans="1:19" x14ac:dyDescent="0.25">
      <c r="A7" s="35" t="s">
        <v>141</v>
      </c>
      <c r="B7" s="35">
        <v>2</v>
      </c>
      <c r="C7" s="36">
        <v>213</v>
      </c>
      <c r="D7" s="35">
        <v>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</row>
    <row r="8" spans="1:19" x14ac:dyDescent="0.25">
      <c r="A8" s="35" t="s">
        <v>141</v>
      </c>
      <c r="B8" s="35">
        <v>2</v>
      </c>
      <c r="C8" s="36">
        <v>213</v>
      </c>
      <c r="D8" s="35">
        <v>3</v>
      </c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</row>
    <row r="9" spans="1:19" x14ac:dyDescent="0.25">
      <c r="A9" s="35" t="s">
        <v>141</v>
      </c>
      <c r="B9" s="35">
        <v>2</v>
      </c>
      <c r="C9" s="36">
        <v>213</v>
      </c>
      <c r="D9" s="35">
        <v>3</v>
      </c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</row>
    <row r="10" spans="1:19" x14ac:dyDescent="0.25">
      <c r="A10" s="35" t="s">
        <v>141</v>
      </c>
      <c r="B10" s="35">
        <v>2</v>
      </c>
      <c r="C10" s="36">
        <v>213</v>
      </c>
      <c r="D10" s="35">
        <v>3</v>
      </c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</row>
    <row r="11" spans="1:19" x14ac:dyDescent="0.25">
      <c r="A11" s="35" t="s">
        <v>141</v>
      </c>
      <c r="B11" s="35">
        <v>2</v>
      </c>
      <c r="C11" s="36">
        <v>213</v>
      </c>
      <c r="D11" s="35">
        <v>3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</row>
    <row r="12" spans="1:19" ht="30" x14ac:dyDescent="0.25">
      <c r="A12" s="35" t="s">
        <v>141</v>
      </c>
      <c r="B12" s="35" t="s">
        <v>143</v>
      </c>
      <c r="C12" s="36">
        <v>191</v>
      </c>
      <c r="D12" s="35">
        <v>3</v>
      </c>
      <c r="E12" s="35">
        <v>3</v>
      </c>
      <c r="F12" s="35" t="s">
        <v>145</v>
      </c>
      <c r="G12" s="35">
        <v>1</v>
      </c>
      <c r="H12" s="35" t="s">
        <v>145</v>
      </c>
      <c r="I12" s="35">
        <v>4</v>
      </c>
      <c r="J12" s="35" t="s">
        <v>145</v>
      </c>
      <c r="K12" s="35">
        <v>8</v>
      </c>
      <c r="L12" s="35" t="s">
        <v>146</v>
      </c>
      <c r="M12" s="35">
        <v>2</v>
      </c>
      <c r="N12" s="35" t="s">
        <v>145</v>
      </c>
      <c r="O12" s="35">
        <v>4</v>
      </c>
      <c r="P12" s="35" t="s">
        <v>145</v>
      </c>
      <c r="Q12" s="35">
        <v>2</v>
      </c>
      <c r="R12" s="35" t="s">
        <v>145</v>
      </c>
      <c r="S12" s="35"/>
    </row>
    <row r="13" spans="1:19" ht="30" x14ac:dyDescent="0.25">
      <c r="A13" s="35" t="s">
        <v>141</v>
      </c>
      <c r="B13" s="35" t="s">
        <v>143</v>
      </c>
      <c r="C13" s="36">
        <v>191</v>
      </c>
      <c r="D13" s="35">
        <v>3</v>
      </c>
      <c r="E13" s="35">
        <v>3</v>
      </c>
      <c r="F13" s="35" t="s">
        <v>145</v>
      </c>
      <c r="G13" s="35">
        <v>1</v>
      </c>
      <c r="H13" s="35" t="s">
        <v>145</v>
      </c>
      <c r="I13" s="35">
        <v>4</v>
      </c>
      <c r="J13" s="35" t="s">
        <v>145</v>
      </c>
      <c r="K13" s="35">
        <v>8</v>
      </c>
      <c r="L13" s="35" t="s">
        <v>146</v>
      </c>
      <c r="M13" s="35">
        <v>2</v>
      </c>
      <c r="N13" s="35" t="s">
        <v>145</v>
      </c>
      <c r="O13" s="35">
        <v>4</v>
      </c>
      <c r="P13" s="35" t="s">
        <v>145</v>
      </c>
      <c r="Q13" s="35">
        <v>2</v>
      </c>
      <c r="R13" s="35" t="s">
        <v>145</v>
      </c>
      <c r="S13" s="35"/>
    </row>
    <row r="14" spans="1:19" ht="30" x14ac:dyDescent="0.25">
      <c r="A14" s="35" t="s">
        <v>141</v>
      </c>
      <c r="B14" s="35" t="s">
        <v>143</v>
      </c>
      <c r="C14" s="36">
        <v>191</v>
      </c>
      <c r="D14" s="35">
        <v>3</v>
      </c>
      <c r="E14" s="35">
        <v>3</v>
      </c>
      <c r="F14" s="35" t="s">
        <v>145</v>
      </c>
      <c r="G14" s="35">
        <v>1</v>
      </c>
      <c r="H14" s="35" t="s">
        <v>145</v>
      </c>
      <c r="I14" s="35">
        <v>4</v>
      </c>
      <c r="J14" s="35" t="s">
        <v>145</v>
      </c>
      <c r="K14" s="35">
        <v>8</v>
      </c>
      <c r="L14" s="35" t="s">
        <v>146</v>
      </c>
      <c r="M14" s="35">
        <v>2</v>
      </c>
      <c r="N14" s="35" t="s">
        <v>145</v>
      </c>
      <c r="O14" s="35">
        <v>4</v>
      </c>
      <c r="P14" s="35" t="s">
        <v>145</v>
      </c>
      <c r="Q14" s="35">
        <v>2</v>
      </c>
      <c r="R14" s="35" t="s">
        <v>145</v>
      </c>
      <c r="S14" s="35"/>
    </row>
    <row r="15" spans="1:19" ht="30" x14ac:dyDescent="0.25">
      <c r="A15" s="35" t="s">
        <v>141</v>
      </c>
      <c r="B15" s="35" t="s">
        <v>143</v>
      </c>
      <c r="C15" s="36">
        <v>191</v>
      </c>
      <c r="D15" s="35">
        <v>3</v>
      </c>
      <c r="E15" s="35">
        <v>3</v>
      </c>
      <c r="F15" s="35" t="s">
        <v>145</v>
      </c>
      <c r="G15" s="35">
        <v>1</v>
      </c>
      <c r="H15" s="35" t="s">
        <v>145</v>
      </c>
      <c r="I15" s="35">
        <v>4</v>
      </c>
      <c r="J15" s="35" t="s">
        <v>145</v>
      </c>
      <c r="K15" s="35">
        <v>8</v>
      </c>
      <c r="L15" s="35" t="s">
        <v>146</v>
      </c>
      <c r="M15" s="35">
        <v>2</v>
      </c>
      <c r="N15" s="35" t="s">
        <v>145</v>
      </c>
      <c r="O15" s="35">
        <v>4</v>
      </c>
      <c r="P15" s="35" t="s">
        <v>145</v>
      </c>
      <c r="Q15" s="35">
        <v>2</v>
      </c>
      <c r="R15" s="35" t="s">
        <v>145</v>
      </c>
      <c r="S15" s="35"/>
    </row>
    <row r="16" spans="1:19" ht="30" x14ac:dyDescent="0.25">
      <c r="A16" s="35" t="s">
        <v>141</v>
      </c>
      <c r="B16" s="35" t="s">
        <v>143</v>
      </c>
      <c r="C16" s="36">
        <v>191</v>
      </c>
      <c r="D16" s="35">
        <v>3</v>
      </c>
      <c r="E16" s="35">
        <v>3</v>
      </c>
      <c r="F16" s="35" t="s">
        <v>145</v>
      </c>
      <c r="G16" s="35">
        <v>1</v>
      </c>
      <c r="H16" s="35" t="s">
        <v>145</v>
      </c>
      <c r="I16" s="35">
        <v>4</v>
      </c>
      <c r="J16" s="35" t="s">
        <v>145</v>
      </c>
      <c r="K16" s="35">
        <v>8</v>
      </c>
      <c r="L16" s="35" t="s">
        <v>146</v>
      </c>
      <c r="M16" s="35">
        <v>2</v>
      </c>
      <c r="N16" s="35" t="s">
        <v>145</v>
      </c>
      <c r="O16" s="35">
        <v>4</v>
      </c>
      <c r="P16" s="35" t="s">
        <v>145</v>
      </c>
      <c r="Q16" s="35">
        <v>2</v>
      </c>
      <c r="R16" s="35" t="s">
        <v>145</v>
      </c>
      <c r="S16" s="35"/>
    </row>
    <row r="17" spans="1:19" ht="30" x14ac:dyDescent="0.25">
      <c r="A17" s="35" t="s">
        <v>141</v>
      </c>
      <c r="B17" s="35" t="s">
        <v>143</v>
      </c>
      <c r="C17" s="36">
        <v>191</v>
      </c>
      <c r="D17" s="35">
        <v>3</v>
      </c>
      <c r="E17" s="35">
        <v>3</v>
      </c>
      <c r="F17" s="35" t="s">
        <v>145</v>
      </c>
      <c r="G17" s="35">
        <v>1</v>
      </c>
      <c r="H17" s="35" t="s">
        <v>145</v>
      </c>
      <c r="I17" s="35">
        <v>4</v>
      </c>
      <c r="J17" s="35" t="s">
        <v>145</v>
      </c>
      <c r="K17" s="35">
        <v>8</v>
      </c>
      <c r="L17" s="35" t="s">
        <v>146</v>
      </c>
      <c r="M17" s="35">
        <v>2</v>
      </c>
      <c r="N17" s="35" t="s">
        <v>145</v>
      </c>
      <c r="O17" s="35">
        <v>4</v>
      </c>
      <c r="P17" s="35" t="s">
        <v>145</v>
      </c>
      <c r="Q17" s="35">
        <v>2</v>
      </c>
      <c r="R17" s="35" t="s">
        <v>145</v>
      </c>
      <c r="S17" s="35"/>
    </row>
    <row r="18" spans="1:19" ht="30" x14ac:dyDescent="0.25">
      <c r="A18" s="35" t="s">
        <v>141</v>
      </c>
      <c r="B18" s="35" t="s">
        <v>143</v>
      </c>
      <c r="C18" s="36">
        <v>191</v>
      </c>
      <c r="D18" s="35">
        <v>3</v>
      </c>
      <c r="E18" s="35">
        <v>3</v>
      </c>
      <c r="F18" s="35" t="s">
        <v>145</v>
      </c>
      <c r="G18" s="35">
        <v>1</v>
      </c>
      <c r="H18" s="35" t="s">
        <v>145</v>
      </c>
      <c r="I18" s="35">
        <v>4</v>
      </c>
      <c r="J18" s="35" t="s">
        <v>145</v>
      </c>
      <c r="K18" s="35">
        <v>8</v>
      </c>
      <c r="L18" s="35" t="s">
        <v>146</v>
      </c>
      <c r="M18" s="35">
        <v>2</v>
      </c>
      <c r="N18" s="35" t="s">
        <v>145</v>
      </c>
      <c r="O18" s="35">
        <v>4</v>
      </c>
      <c r="P18" s="35" t="s">
        <v>145</v>
      </c>
      <c r="Q18" s="35">
        <v>2</v>
      </c>
      <c r="R18" s="35" t="s">
        <v>145</v>
      </c>
      <c r="S18" s="35"/>
    </row>
    <row r="19" spans="1:19" ht="30" x14ac:dyDescent="0.25">
      <c r="A19" s="35" t="s">
        <v>141</v>
      </c>
      <c r="B19" s="35" t="s">
        <v>143</v>
      </c>
      <c r="C19" s="36">
        <v>191</v>
      </c>
      <c r="D19" s="35">
        <v>3</v>
      </c>
      <c r="E19" s="35">
        <v>3</v>
      </c>
      <c r="F19" s="35" t="s">
        <v>145</v>
      </c>
      <c r="G19" s="35">
        <v>1</v>
      </c>
      <c r="H19" s="35" t="s">
        <v>145</v>
      </c>
      <c r="I19" s="35">
        <v>4</v>
      </c>
      <c r="J19" s="35" t="s">
        <v>145</v>
      </c>
      <c r="K19" s="35">
        <v>8</v>
      </c>
      <c r="L19" s="35" t="s">
        <v>146</v>
      </c>
      <c r="M19" s="35">
        <v>2</v>
      </c>
      <c r="N19" s="35" t="s">
        <v>145</v>
      </c>
      <c r="O19" s="35">
        <v>4</v>
      </c>
      <c r="P19" s="35" t="s">
        <v>145</v>
      </c>
      <c r="Q19" s="35">
        <v>2</v>
      </c>
      <c r="R19" s="35" t="s">
        <v>145</v>
      </c>
      <c r="S19" s="35"/>
    </row>
    <row r="20" spans="1:19" ht="30" x14ac:dyDescent="0.25">
      <c r="A20" s="35" t="s">
        <v>141</v>
      </c>
      <c r="B20" s="35" t="s">
        <v>143</v>
      </c>
      <c r="C20" s="36">
        <v>191</v>
      </c>
      <c r="D20" s="35">
        <v>3</v>
      </c>
      <c r="E20" s="35">
        <v>3</v>
      </c>
      <c r="F20" s="35" t="s">
        <v>145</v>
      </c>
      <c r="G20" s="35">
        <v>1</v>
      </c>
      <c r="H20" s="35" t="s">
        <v>145</v>
      </c>
      <c r="I20" s="35">
        <v>4</v>
      </c>
      <c r="J20" s="35" t="s">
        <v>145</v>
      </c>
      <c r="K20" s="35">
        <v>8</v>
      </c>
      <c r="L20" s="35" t="s">
        <v>146</v>
      </c>
      <c r="M20" s="35">
        <v>2</v>
      </c>
      <c r="N20" s="35" t="s">
        <v>145</v>
      </c>
      <c r="O20" s="35">
        <v>4</v>
      </c>
      <c r="P20" s="35" t="s">
        <v>145</v>
      </c>
      <c r="Q20" s="35">
        <v>2</v>
      </c>
      <c r="R20" s="35" t="s">
        <v>145</v>
      </c>
      <c r="S20" s="35"/>
    </row>
    <row r="21" spans="1:19" ht="30" x14ac:dyDescent="0.25">
      <c r="A21" s="35" t="s">
        <v>141</v>
      </c>
      <c r="B21" s="35" t="s">
        <v>143</v>
      </c>
      <c r="C21" s="36">
        <v>191</v>
      </c>
      <c r="D21" s="35">
        <v>3</v>
      </c>
      <c r="E21" s="35">
        <v>3</v>
      </c>
      <c r="F21" s="35" t="s">
        <v>145</v>
      </c>
      <c r="G21" s="35">
        <v>1</v>
      </c>
      <c r="H21" s="35" t="s">
        <v>145</v>
      </c>
      <c r="I21" s="35">
        <v>4</v>
      </c>
      <c r="J21" s="35" t="s">
        <v>145</v>
      </c>
      <c r="K21" s="35">
        <v>8</v>
      </c>
      <c r="L21" s="35" t="s">
        <v>146</v>
      </c>
      <c r="M21" s="35">
        <v>2</v>
      </c>
      <c r="N21" s="35" t="s">
        <v>145</v>
      </c>
      <c r="O21" s="35">
        <v>4</v>
      </c>
      <c r="P21" s="35" t="s">
        <v>145</v>
      </c>
      <c r="Q21" s="35">
        <v>2</v>
      </c>
      <c r="R21" s="35" t="s">
        <v>145</v>
      </c>
      <c r="S21" s="35"/>
    </row>
    <row r="22" spans="1:19" ht="30" x14ac:dyDescent="0.25">
      <c r="A22" s="35" t="s">
        <v>141</v>
      </c>
      <c r="B22" s="35" t="s">
        <v>143</v>
      </c>
      <c r="C22" s="36">
        <v>191</v>
      </c>
      <c r="D22" s="35">
        <v>3</v>
      </c>
      <c r="E22" s="35">
        <v>3</v>
      </c>
      <c r="F22" s="35" t="s">
        <v>145</v>
      </c>
      <c r="G22" s="35">
        <v>1</v>
      </c>
      <c r="H22" s="35" t="s">
        <v>145</v>
      </c>
      <c r="I22" s="35">
        <v>4</v>
      </c>
      <c r="J22" s="35" t="s">
        <v>145</v>
      </c>
      <c r="K22" s="35">
        <v>8</v>
      </c>
      <c r="L22" s="35" t="s">
        <v>146</v>
      </c>
      <c r="M22" s="35">
        <v>2</v>
      </c>
      <c r="N22" s="35" t="s">
        <v>145</v>
      </c>
      <c r="O22" s="35">
        <v>4</v>
      </c>
      <c r="P22" s="35" t="s">
        <v>145</v>
      </c>
      <c r="Q22" s="35">
        <v>2</v>
      </c>
      <c r="R22" s="35" t="s">
        <v>145</v>
      </c>
      <c r="S22" s="35"/>
    </row>
    <row r="23" spans="1:19" ht="30" x14ac:dyDescent="0.25">
      <c r="A23" s="35" t="s">
        <v>141</v>
      </c>
      <c r="B23" s="35" t="s">
        <v>143</v>
      </c>
      <c r="C23" s="36">
        <v>191</v>
      </c>
      <c r="D23" s="35">
        <v>3</v>
      </c>
      <c r="E23" s="35">
        <v>3</v>
      </c>
      <c r="F23" s="35" t="s">
        <v>145</v>
      </c>
      <c r="G23" s="35">
        <v>1</v>
      </c>
      <c r="H23" s="35" t="s">
        <v>145</v>
      </c>
      <c r="I23" s="35">
        <v>4</v>
      </c>
      <c r="J23" s="35" t="s">
        <v>145</v>
      </c>
      <c r="K23" s="35">
        <v>8</v>
      </c>
      <c r="L23" s="35" t="s">
        <v>146</v>
      </c>
      <c r="M23" s="35">
        <v>2</v>
      </c>
      <c r="N23" s="35" t="s">
        <v>145</v>
      </c>
      <c r="O23" s="35">
        <v>4</v>
      </c>
      <c r="P23" s="35" t="s">
        <v>145</v>
      </c>
      <c r="Q23" s="35">
        <v>2</v>
      </c>
      <c r="R23" s="35" t="s">
        <v>145</v>
      </c>
      <c r="S23" s="35"/>
    </row>
    <row r="24" spans="1:19" x14ac:dyDescent="0.25">
      <c r="A24" s="35" t="s">
        <v>148</v>
      </c>
      <c r="B24" s="35"/>
      <c r="C24" s="36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</row>
    <row r="25" spans="1:19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</row>
    <row r="26" spans="1:19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</row>
    <row r="27" spans="1:19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</row>
    <row r="28" spans="1:19" x14ac:dyDescent="0.2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</row>
    <row r="29" spans="1:19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</row>
    <row r="30" spans="1:19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</row>
    <row r="31" spans="1:19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</row>
    <row r="32" spans="1:19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</row>
    <row r="33" spans="1:19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</row>
    <row r="34" spans="1:19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</row>
    <row r="35" spans="1:19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</row>
    <row r="36" spans="1:19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</row>
    <row r="37" spans="1:19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</row>
    <row r="38" spans="1:19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</row>
    <row r="39" spans="1:19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</row>
    <row r="40" spans="1:19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</row>
    <row r="41" spans="1:19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</row>
    <row r="42" spans="1:19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</row>
    <row r="43" spans="1:19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</row>
    <row r="44" spans="1:19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</row>
    <row r="45" spans="1:19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</row>
    <row r="46" spans="1:19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</row>
    <row r="47" spans="1:19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</row>
    <row r="48" spans="1:19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</row>
    <row r="49" spans="1:19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</row>
    <row r="50" spans="1:19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</row>
    <row r="51" spans="1:19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</row>
    <row r="52" spans="1:19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</row>
    <row r="53" spans="1:19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</row>
    <row r="54" spans="1:19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</row>
    <row r="55" spans="1:19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</row>
    <row r="56" spans="1:19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</row>
    <row r="57" spans="1:19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</row>
    <row r="58" spans="1:19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</row>
    <row r="59" spans="1:19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</row>
    <row r="60" spans="1:19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</row>
    <row r="61" spans="1:19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</row>
    <row r="62" spans="1:19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</row>
    <row r="63" spans="1:19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</row>
    <row r="64" spans="1:19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</row>
    <row r="65" spans="1:19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</row>
    <row r="66" spans="1:19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</row>
    <row r="67" spans="1:19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</row>
    <row r="68" spans="1:19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</row>
    <row r="69" spans="1:19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</row>
    <row r="70" spans="1:19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</row>
    <row r="71" spans="1:19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</row>
    <row r="72" spans="1:19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</row>
    <row r="73" spans="1:19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</row>
    <row r="74" spans="1:19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</row>
    <row r="75" spans="1:19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</row>
    <row r="76" spans="1:19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</row>
    <row r="77" spans="1:19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</row>
    <row r="78" spans="1:19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</row>
    <row r="79" spans="1:19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</row>
    <row r="80" spans="1:19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</row>
    <row r="81" spans="1:19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</row>
    <row r="82" spans="1:19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</row>
    <row r="83" spans="1:19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</row>
    <row r="84" spans="1:19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</row>
    <row r="85" spans="1:19" x14ac:dyDescent="0.25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</row>
    <row r="86" spans="1:19" x14ac:dyDescent="0.25">
      <c r="A86" s="35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</row>
    <row r="87" spans="1:19" x14ac:dyDescent="0.25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</row>
    <row r="88" spans="1:19" x14ac:dyDescent="0.25">
      <c r="A88" s="35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</row>
    <row r="89" spans="1:19" x14ac:dyDescent="0.25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</row>
    <row r="90" spans="1:19" x14ac:dyDescent="0.25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</row>
    <row r="91" spans="1:19" x14ac:dyDescent="0.25">
      <c r="A91" s="35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</row>
    <row r="92" spans="1:19" x14ac:dyDescent="0.25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</row>
    <row r="93" spans="1:19" x14ac:dyDescent="0.25">
      <c r="A93" s="35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</row>
    <row r="94" spans="1:19" x14ac:dyDescent="0.25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</row>
    <row r="95" spans="1:19" x14ac:dyDescent="0.25">
      <c r="A95" s="35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</row>
    <row r="96" spans="1:19" x14ac:dyDescent="0.25">
      <c r="A96" s="35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</row>
    <row r="97" spans="1:19" x14ac:dyDescent="0.25">
      <c r="A97" s="35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</row>
    <row r="98" spans="1:19" x14ac:dyDescent="0.25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</row>
    <row r="99" spans="1:19" x14ac:dyDescent="0.25">
      <c r="A99" s="35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</row>
    <row r="100" spans="1:19" x14ac:dyDescent="0.2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</row>
    <row r="101" spans="1:19" x14ac:dyDescent="0.25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</row>
    <row r="102" spans="1:19" x14ac:dyDescent="0.25">
      <c r="A102" s="35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</row>
    <row r="103" spans="1:19" x14ac:dyDescent="0.25">
      <c r="A103" s="35"/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</row>
    <row r="104" spans="1:19" x14ac:dyDescent="0.25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</row>
    <row r="105" spans="1:19" x14ac:dyDescent="0.25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</row>
    <row r="106" spans="1:19" x14ac:dyDescent="0.25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</row>
    <row r="107" spans="1:19" x14ac:dyDescent="0.25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</row>
    <row r="108" spans="1:19" x14ac:dyDescent="0.25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</row>
    <row r="109" spans="1:19" x14ac:dyDescent="0.25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</row>
    <row r="110" spans="1:19" x14ac:dyDescent="0.25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</row>
    <row r="111" spans="1:19" x14ac:dyDescent="0.25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</row>
    <row r="112" spans="1:19" x14ac:dyDescent="0.25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</row>
    <row r="113" spans="1:19" x14ac:dyDescent="0.25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</row>
    <row r="114" spans="1:19" x14ac:dyDescent="0.25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</row>
    <row r="115" spans="1:19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</row>
    <row r="116" spans="1:19" x14ac:dyDescent="0.25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</row>
    <row r="117" spans="1:19" x14ac:dyDescent="0.25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</row>
    <row r="118" spans="1:19" x14ac:dyDescent="0.25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</row>
    <row r="119" spans="1:19" x14ac:dyDescent="0.25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</row>
    <row r="120" spans="1:19" x14ac:dyDescent="0.25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</row>
    <row r="121" spans="1:19" x14ac:dyDescent="0.25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</row>
    <row r="122" spans="1:19" x14ac:dyDescent="0.25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</row>
    <row r="123" spans="1:19" x14ac:dyDescent="0.25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</row>
    <row r="124" spans="1:19" x14ac:dyDescent="0.25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</row>
    <row r="125" spans="1:19" x14ac:dyDescent="0.25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</row>
    <row r="126" spans="1:19" x14ac:dyDescent="0.25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</row>
    <row r="127" spans="1:19" x14ac:dyDescent="0.25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</row>
    <row r="128" spans="1:19" x14ac:dyDescent="0.25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</row>
    <row r="129" spans="1:19" x14ac:dyDescent="0.25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</row>
    <row r="130" spans="1:19" x14ac:dyDescent="0.25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</row>
    <row r="131" spans="1:19" x14ac:dyDescent="0.2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</row>
    <row r="132" spans="1:19" x14ac:dyDescent="0.25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</row>
    <row r="133" spans="1:19" x14ac:dyDescent="0.25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</row>
    <row r="134" spans="1:19" x14ac:dyDescent="0.25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</row>
    <row r="135" spans="1:19" x14ac:dyDescent="0.25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</row>
    <row r="136" spans="1:19" x14ac:dyDescent="0.25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</row>
    <row r="137" spans="1:19" x14ac:dyDescent="0.25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</row>
    <row r="138" spans="1:19" x14ac:dyDescent="0.25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</row>
    <row r="139" spans="1:19" x14ac:dyDescent="0.25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</row>
    <row r="140" spans="1:19" x14ac:dyDescent="0.25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</row>
    <row r="141" spans="1:19" x14ac:dyDescent="0.25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</row>
    <row r="142" spans="1:19" x14ac:dyDescent="0.25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</row>
    <row r="143" spans="1:19" x14ac:dyDescent="0.25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dropdown</vt:lpstr>
      <vt:lpstr>KetQua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2020-05-01T05:28:00Z</dcterms:modified>
</cp:coreProperties>
</file>